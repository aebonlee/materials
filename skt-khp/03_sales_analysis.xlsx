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+0.0%;-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D2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3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8" customWidth="1" min="4" max="4"/>
    <col width="9" customWidth="1" min="5" max="5"/>
    <col width="20" customWidth="1" min="6" max="6"/>
    <col width="8" customWidth="1" min="7" max="7"/>
    <col width="12" customWidth="1" min="8" max="8"/>
    <col width="14" customWidth="1" min="9" max="9"/>
    <col width="10" customWidth="1" min="10" max="10"/>
    <col width="10" customWidth="1" min="11" max="11"/>
    <col width="6" customWidth="1" min="12" max="12"/>
  </cols>
  <sheetData>
    <row r="1">
      <c r="A1" s="1" t="inlineStr">
        <is>
          <t>주문번호</t>
        </is>
      </c>
      <c r="B1" s="1" t="inlineStr">
        <is>
          <t>주문일</t>
        </is>
      </c>
      <c r="C1" s="1" t="inlineStr">
        <is>
          <t>거래처명</t>
        </is>
      </c>
      <c r="D1" s="1" t="inlineStr">
        <is>
          <t>지역</t>
        </is>
      </c>
      <c r="E1" s="1" t="inlineStr">
        <is>
          <t>제품군</t>
        </is>
      </c>
      <c r="F1" s="1" t="inlineStr">
        <is>
          <t>제품명</t>
        </is>
      </c>
      <c r="G1" s="1" t="inlineStr">
        <is>
          <t>수량</t>
        </is>
      </c>
      <c r="H1" s="1" t="inlineStr">
        <is>
          <t>단가</t>
        </is>
      </c>
      <c r="I1" s="1" t="inlineStr">
        <is>
          <t>매출액</t>
        </is>
      </c>
      <c r="J1" s="1" t="inlineStr">
        <is>
          <t>담당자</t>
        </is>
      </c>
      <c r="K1" s="1" t="inlineStr">
        <is>
          <t>결제상태</t>
        </is>
      </c>
      <c r="L1" s="1" t="inlineStr">
        <is>
          <t>월</t>
        </is>
      </c>
    </row>
    <row r="2">
      <c r="A2" t="inlineStr">
        <is>
          <t>ORD-2026-0001</t>
        </is>
      </c>
      <c r="B2" s="2" t="n">
        <v>46023</v>
      </c>
      <c r="C2" t="inlineStr">
        <is>
          <t>두리물류</t>
        </is>
      </c>
      <c r="D2" t="inlineStr">
        <is>
          <t>경기</t>
        </is>
      </c>
      <c r="E2" t="inlineStr">
        <is>
          <t>서비스</t>
        </is>
      </c>
      <c r="F2" t="inlineStr">
        <is>
          <t>정기 점검</t>
        </is>
      </c>
      <c r="G2" s="3" t="n">
        <v>3</v>
      </c>
      <c r="H2" s="4" t="n">
        <v>500000</v>
      </c>
      <c r="I2" s="4" t="n">
        <v>1500000</v>
      </c>
      <c r="J2" t="inlineStr">
        <is>
          <t>이서연</t>
        </is>
      </c>
      <c r="K2" t="inlineStr">
        <is>
          <t>완료</t>
        </is>
      </c>
      <c r="L2" s="3" t="n">
        <v>1</v>
      </c>
    </row>
    <row r="3">
      <c r="A3" t="inlineStr">
        <is>
          <t>ORD-2026-0002</t>
        </is>
      </c>
      <c r="B3" s="2" t="n">
        <v>46024</v>
      </c>
      <c r="C3" t="inlineStr">
        <is>
          <t>동양정밀</t>
        </is>
      </c>
      <c r="D3" t="inlineStr">
        <is>
          <t>인천</t>
        </is>
      </c>
      <c r="E3" t="inlineStr">
        <is>
          <t>소모품</t>
        </is>
      </c>
      <c r="F3" t="inlineStr">
        <is>
          <t>절연 테이프(50개)</t>
        </is>
      </c>
      <c r="G3" s="3" t="n">
        <v>159</v>
      </c>
      <c r="H3" s="4" t="n">
        <v>15000</v>
      </c>
      <c r="I3" s="4" t="n">
        <v>2385000</v>
      </c>
      <c r="J3" t="inlineStr">
        <is>
          <t>정우진</t>
        </is>
      </c>
      <c r="K3" t="inlineStr">
        <is>
          <t>완료</t>
        </is>
      </c>
      <c r="L3" s="3" t="n">
        <v>1</v>
      </c>
    </row>
    <row r="4">
      <c r="A4" t="inlineStr">
        <is>
          <t>ORD-2026-0003</t>
        </is>
      </c>
      <c r="B4" s="2" t="n">
        <v>46025</v>
      </c>
      <c r="C4" t="inlineStr">
        <is>
          <t>명진화학</t>
        </is>
      </c>
      <c r="D4" t="inlineStr">
        <is>
          <t>울산</t>
        </is>
      </c>
      <c r="E4" t="inlineStr">
        <is>
          <t>모듈</t>
        </is>
      </c>
      <c r="F4" t="inlineStr">
        <is>
          <t>제어 모듈 CM-100</t>
        </is>
      </c>
      <c r="G4" s="3" t="n">
        <v>8</v>
      </c>
      <c r="H4" s="4" t="n">
        <v>650000</v>
      </c>
      <c r="I4" s="4" t="n">
        <v>5200000</v>
      </c>
      <c r="J4" t="inlineStr">
        <is>
          <t>이서연</t>
        </is>
      </c>
      <c r="K4" t="inlineStr">
        <is>
          <t>취소</t>
        </is>
      </c>
      <c r="L4" s="3" t="n">
        <v>1</v>
      </c>
    </row>
    <row r="5">
      <c r="A5" t="inlineStr">
        <is>
          <t>ORD-2026-0004</t>
        </is>
      </c>
      <c r="B5" s="2" t="n">
        <v>46026</v>
      </c>
      <c r="C5" t="inlineStr">
        <is>
          <t>명진화학</t>
        </is>
      </c>
      <c r="D5" t="inlineStr">
        <is>
          <t>울산</t>
        </is>
      </c>
      <c r="E5" t="inlineStr">
        <is>
          <t>서비스</t>
        </is>
      </c>
      <c r="F5" t="inlineStr">
        <is>
          <t>기술 교육(1일)</t>
        </is>
      </c>
      <c r="G5" s="3" t="n">
        <v>1</v>
      </c>
      <c r="H5" s="4" t="n">
        <v>1200000</v>
      </c>
      <c r="I5" s="4" t="n">
        <v>1200000</v>
      </c>
      <c r="J5" t="inlineStr">
        <is>
          <t>박지훈</t>
        </is>
      </c>
      <c r="K5" t="inlineStr">
        <is>
          <t>대기</t>
        </is>
      </c>
      <c r="L5" s="3" t="n">
        <v>1</v>
      </c>
    </row>
    <row r="6">
      <c r="A6" t="inlineStr">
        <is>
          <t>ORD-2026-0005</t>
        </is>
      </c>
      <c r="B6" s="2" t="n">
        <v>46026</v>
      </c>
      <c r="C6" t="inlineStr">
        <is>
          <t>가온테크</t>
        </is>
      </c>
      <c r="D6" t="inlineStr">
        <is>
          <t>서울</t>
        </is>
      </c>
      <c r="E6" t="inlineStr">
        <is>
          <t>소모품</t>
        </is>
      </c>
      <c r="F6" t="inlineStr">
        <is>
          <t>필터 카트리지</t>
        </is>
      </c>
      <c r="G6" s="3" t="n">
        <v>54</v>
      </c>
      <c r="H6" s="4" t="n">
        <v>22000</v>
      </c>
      <c r="I6" s="4" t="n">
        <v>1188000</v>
      </c>
      <c r="J6" t="inlineStr">
        <is>
          <t>박지훈</t>
        </is>
      </c>
      <c r="K6" t="inlineStr">
        <is>
          <t>완료</t>
        </is>
      </c>
      <c r="L6" s="3" t="n">
        <v>1</v>
      </c>
    </row>
    <row r="7">
      <c r="A7" t="inlineStr">
        <is>
          <t>ORD-2026-0006</t>
        </is>
      </c>
      <c r="B7" s="2" t="n">
        <v>46029</v>
      </c>
      <c r="C7" t="inlineStr">
        <is>
          <t>두리물류</t>
        </is>
      </c>
      <c r="D7" t="inlineStr">
        <is>
          <t>경기</t>
        </is>
      </c>
      <c r="E7" t="inlineStr">
        <is>
          <t>소모품</t>
        </is>
      </c>
      <c r="F7" t="inlineStr">
        <is>
          <t>윤활유 20L</t>
        </is>
      </c>
      <c r="G7" s="3" t="n">
        <v>61</v>
      </c>
      <c r="H7" s="4" t="n">
        <v>38000</v>
      </c>
      <c r="I7" s="4" t="n">
        <v>2318000</v>
      </c>
      <c r="J7" t="inlineStr">
        <is>
          <t>정우진</t>
        </is>
      </c>
      <c r="K7" t="inlineStr">
        <is>
          <t>완료</t>
        </is>
      </c>
      <c r="L7" s="3" t="n">
        <v>1</v>
      </c>
    </row>
    <row r="8">
      <c r="A8" t="inlineStr">
        <is>
          <t>ORD-2026-0007</t>
        </is>
      </c>
      <c r="B8" s="2" t="n">
        <v>46029</v>
      </c>
      <c r="C8" t="inlineStr">
        <is>
          <t>동양정밀</t>
        </is>
      </c>
      <c r="D8" t="inlineStr">
        <is>
          <t>인천</t>
        </is>
      </c>
      <c r="E8" t="inlineStr">
        <is>
          <t>부품</t>
        </is>
      </c>
      <c r="F8" t="inlineStr">
        <is>
          <t>베어링 세트</t>
        </is>
      </c>
      <c r="G8" s="3" t="n">
        <v>25</v>
      </c>
      <c r="H8" s="4" t="n">
        <v>45000</v>
      </c>
      <c r="I8" s="4" t="n">
        <v>1125000</v>
      </c>
      <c r="J8" t="inlineStr">
        <is>
          <t>최수아</t>
        </is>
      </c>
      <c r="K8" t="inlineStr">
        <is>
          <t>완료</t>
        </is>
      </c>
      <c r="L8" s="3" t="n">
        <v>1</v>
      </c>
    </row>
    <row r="9">
      <c r="A9" t="inlineStr">
        <is>
          <t>ORD-2026-0008</t>
        </is>
      </c>
      <c r="B9" s="2" t="n">
        <v>46030</v>
      </c>
      <c r="C9" t="inlineStr">
        <is>
          <t>신영유통</t>
        </is>
      </c>
      <c r="D9" t="inlineStr">
        <is>
          <t>인천</t>
        </is>
      </c>
      <c r="E9" t="inlineStr">
        <is>
          <t>서비스</t>
        </is>
      </c>
      <c r="F9" t="inlineStr">
        <is>
          <t>기술 교육(1일)</t>
        </is>
      </c>
      <c r="G9" s="3" t="n">
        <v>1</v>
      </c>
      <c r="H9" s="4" t="n">
        <v>1200000</v>
      </c>
      <c r="I9" s="4" t="n">
        <v>1200000</v>
      </c>
      <c r="J9" t="inlineStr">
        <is>
          <t>최수아</t>
        </is>
      </c>
      <c r="K9" t="inlineStr">
        <is>
          <t>완료</t>
        </is>
      </c>
      <c r="L9" s="3" t="n">
        <v>1</v>
      </c>
    </row>
    <row r="10">
      <c r="A10" t="inlineStr">
        <is>
          <t>ORD-2026-0009</t>
        </is>
      </c>
      <c r="B10" s="2" t="n">
        <v>46031</v>
      </c>
      <c r="C10" t="inlineStr">
        <is>
          <t>대성물산</t>
        </is>
      </c>
      <c r="D10" t="inlineStr">
        <is>
          <t>경기</t>
        </is>
      </c>
      <c r="E10" t="inlineStr">
        <is>
          <t>서비스</t>
        </is>
      </c>
      <c r="F10" t="inlineStr">
        <is>
          <t>기술 교육(1일)</t>
        </is>
      </c>
      <c r="G10" s="3" t="n">
        <v>1</v>
      </c>
      <c r="H10" s="4" t="n">
        <v>1200000</v>
      </c>
      <c r="I10" s="4" t="n">
        <v>1200000</v>
      </c>
      <c r="J10" t="inlineStr">
        <is>
          <t>이서연</t>
        </is>
      </c>
      <c r="K10" t="inlineStr">
        <is>
          <t>대기</t>
        </is>
      </c>
      <c r="L10" s="3" t="n">
        <v>1</v>
      </c>
    </row>
    <row r="11">
      <c r="A11" t="inlineStr">
        <is>
          <t>ORD-2026-0010</t>
        </is>
      </c>
      <c r="B11" s="2" t="n">
        <v>46031</v>
      </c>
      <c r="C11" t="inlineStr">
        <is>
          <t>세진통상</t>
        </is>
      </c>
      <c r="D11" t="inlineStr">
        <is>
          <t>경기</t>
        </is>
      </c>
      <c r="E11" t="inlineStr">
        <is>
          <t>부품</t>
        </is>
      </c>
      <c r="F11" t="inlineStr">
        <is>
          <t>베어링 세트</t>
        </is>
      </c>
      <c r="G11" s="3" t="n">
        <v>20</v>
      </c>
      <c r="H11" s="4" t="n">
        <v>45000</v>
      </c>
      <c r="I11" s="4" t="n">
        <v>900000</v>
      </c>
      <c r="J11" t="inlineStr">
        <is>
          <t>최수아</t>
        </is>
      </c>
      <c r="K11" t="inlineStr">
        <is>
          <t>대기</t>
        </is>
      </c>
      <c r="L11" s="3" t="n">
        <v>1</v>
      </c>
    </row>
    <row r="12">
      <c r="A12" t="inlineStr">
        <is>
          <t>ORD-2026-0011</t>
        </is>
      </c>
      <c r="B12" s="2" t="n">
        <v>46032</v>
      </c>
      <c r="C12" t="inlineStr">
        <is>
          <t>유성전기</t>
        </is>
      </c>
      <c r="D12" t="inlineStr">
        <is>
          <t>대전</t>
        </is>
      </c>
      <c r="E12" t="inlineStr">
        <is>
          <t>모듈</t>
        </is>
      </c>
      <c r="F12" t="inlineStr">
        <is>
          <t>통신 모듈 TM-5</t>
        </is>
      </c>
      <c r="G12" s="3" t="n">
        <v>11</v>
      </c>
      <c r="H12" s="4" t="n">
        <v>290000</v>
      </c>
      <c r="I12" s="4" t="n">
        <v>3190000</v>
      </c>
      <c r="J12" t="inlineStr">
        <is>
          <t>이서연</t>
        </is>
      </c>
      <c r="K12" t="inlineStr">
        <is>
          <t>완료</t>
        </is>
      </c>
      <c r="L12" s="3" t="n">
        <v>1</v>
      </c>
    </row>
    <row r="13">
      <c r="A13" t="inlineStr">
        <is>
          <t>ORD-2026-0012</t>
        </is>
      </c>
      <c r="B13" s="2" t="n">
        <v>46033</v>
      </c>
      <c r="C13" t="inlineStr">
        <is>
          <t>두리물류</t>
        </is>
      </c>
      <c r="D13" t="inlineStr">
        <is>
          <t>경기</t>
        </is>
      </c>
      <c r="E13" t="inlineStr">
        <is>
          <t>서비스</t>
        </is>
      </c>
      <c r="F13" t="inlineStr">
        <is>
          <t>기술 교육(1일)</t>
        </is>
      </c>
      <c r="G13" s="3" t="n">
        <v>3</v>
      </c>
      <c r="H13" s="4" t="n">
        <v>1200000</v>
      </c>
      <c r="I13" s="4" t="n">
        <v>3600000</v>
      </c>
      <c r="J13" t="inlineStr">
        <is>
          <t>정우진</t>
        </is>
      </c>
      <c r="K13" t="inlineStr">
        <is>
          <t>완료</t>
        </is>
      </c>
      <c r="L13" s="3" t="n">
        <v>1</v>
      </c>
    </row>
    <row r="14">
      <c r="A14" t="inlineStr">
        <is>
          <t>ORD-2026-0013</t>
        </is>
      </c>
      <c r="B14" s="2" t="n">
        <v>46033</v>
      </c>
      <c r="C14" t="inlineStr">
        <is>
          <t>동양정밀</t>
        </is>
      </c>
      <c r="D14" t="inlineStr">
        <is>
          <t>인천</t>
        </is>
      </c>
      <c r="E14" t="inlineStr">
        <is>
          <t>서비스</t>
        </is>
      </c>
      <c r="F14" t="inlineStr">
        <is>
          <t>정기 점검</t>
        </is>
      </c>
      <c r="G14" s="3" t="n">
        <v>2</v>
      </c>
      <c r="H14" s="4" t="n">
        <v>500000</v>
      </c>
      <c r="I14" s="4" t="n">
        <v>1000000</v>
      </c>
      <c r="J14" t="inlineStr">
        <is>
          <t>최수아</t>
        </is>
      </c>
      <c r="K14" t="inlineStr">
        <is>
          <t>완료</t>
        </is>
      </c>
      <c r="L14" s="3" t="n">
        <v>1</v>
      </c>
    </row>
    <row r="15">
      <c r="A15" t="inlineStr">
        <is>
          <t>ORD-2026-0014</t>
        </is>
      </c>
      <c r="B15" s="2" t="n">
        <v>46033</v>
      </c>
      <c r="C15" t="inlineStr">
        <is>
          <t>삼일기계</t>
        </is>
      </c>
      <c r="D15" t="inlineStr">
        <is>
          <t>대구</t>
        </is>
      </c>
      <c r="E15" t="inlineStr">
        <is>
          <t>모듈</t>
        </is>
      </c>
      <c r="F15" t="inlineStr">
        <is>
          <t>전원 모듈 PM-20</t>
        </is>
      </c>
      <c r="G15" s="3" t="n">
        <v>3</v>
      </c>
      <c r="H15" s="4" t="n">
        <v>380000</v>
      </c>
      <c r="I15" s="4" t="n">
        <v>1140000</v>
      </c>
      <c r="J15" t="inlineStr">
        <is>
          <t>이서연</t>
        </is>
      </c>
      <c r="K15" t="inlineStr">
        <is>
          <t>완료</t>
        </is>
      </c>
      <c r="L15" s="3" t="n">
        <v>1</v>
      </c>
    </row>
    <row r="16">
      <c r="A16" t="inlineStr">
        <is>
          <t>ORD-2026-0015</t>
        </is>
      </c>
      <c r="B16" s="2" t="n">
        <v>46035</v>
      </c>
      <c r="C16" t="inlineStr">
        <is>
          <t>백두정공</t>
        </is>
      </c>
      <c r="D16" t="inlineStr">
        <is>
          <t>대구</t>
        </is>
      </c>
      <c r="E16" t="inlineStr">
        <is>
          <t>부품</t>
        </is>
      </c>
      <c r="F16" t="inlineStr">
        <is>
          <t>베어링 세트</t>
        </is>
      </c>
      <c r="G16" s="3" t="n">
        <v>69</v>
      </c>
      <c r="H16" s="4" t="n">
        <v>45000</v>
      </c>
      <c r="I16" s="4" t="n">
        <v>3105000</v>
      </c>
      <c r="J16" t="inlineStr">
        <is>
          <t>정우진</t>
        </is>
      </c>
      <c r="K16" t="inlineStr">
        <is>
          <t>완료</t>
        </is>
      </c>
      <c r="L16" s="3" t="n">
        <v>1</v>
      </c>
    </row>
    <row r="17">
      <c r="A17" t="inlineStr">
        <is>
          <t>ORD-2026-0016</t>
        </is>
      </c>
      <c r="B17" s="2" t="n">
        <v>46035</v>
      </c>
      <c r="C17" t="inlineStr">
        <is>
          <t>대성물산</t>
        </is>
      </c>
      <c r="D17" t="inlineStr">
        <is>
          <t>경기</t>
        </is>
      </c>
      <c r="E17" t="inlineStr">
        <is>
          <t>서비스</t>
        </is>
      </c>
      <c r="F17" t="inlineStr">
        <is>
          <t>정기 점검</t>
        </is>
      </c>
      <c r="G17" s="3" t="n">
        <v>1</v>
      </c>
      <c r="H17" s="4" t="n">
        <v>500000</v>
      </c>
      <c r="I17" s="4" t="n">
        <v>500000</v>
      </c>
      <c r="J17" t="inlineStr">
        <is>
          <t>정우진</t>
        </is>
      </c>
      <c r="K17" t="inlineStr">
        <is>
          <t>완료</t>
        </is>
      </c>
      <c r="L17" s="3" t="n">
        <v>1</v>
      </c>
    </row>
    <row r="18">
      <c r="A18" t="inlineStr">
        <is>
          <t>ORD-2026-0017</t>
        </is>
      </c>
      <c r="B18" s="2" t="n">
        <v>46036</v>
      </c>
      <c r="C18" t="inlineStr">
        <is>
          <t>그린에너지</t>
        </is>
      </c>
      <c r="D18" t="inlineStr">
        <is>
          <t>광주</t>
        </is>
      </c>
      <c r="E18" t="inlineStr">
        <is>
          <t>소모품</t>
        </is>
      </c>
      <c r="F18" t="inlineStr">
        <is>
          <t>필터 카트리지</t>
        </is>
      </c>
      <c r="G18" s="3" t="n">
        <v>112</v>
      </c>
      <c r="H18" s="4" t="n">
        <v>22000</v>
      </c>
      <c r="I18" s="4" t="n">
        <v>2464000</v>
      </c>
      <c r="J18" t="inlineStr">
        <is>
          <t>박지훈</t>
        </is>
      </c>
      <c r="K18" t="inlineStr">
        <is>
          <t>완료</t>
        </is>
      </c>
      <c r="L18" s="3" t="n">
        <v>1</v>
      </c>
    </row>
    <row r="19">
      <c r="A19" t="inlineStr">
        <is>
          <t>ORD-2026-0018</t>
        </is>
      </c>
      <c r="B19" s="2" t="n">
        <v>46036</v>
      </c>
      <c r="C19" t="inlineStr">
        <is>
          <t>대성물산</t>
        </is>
      </c>
      <c r="D19" t="inlineStr">
        <is>
          <t>경기</t>
        </is>
      </c>
      <c r="E19" t="inlineStr">
        <is>
          <t>서비스</t>
        </is>
      </c>
      <c r="F19" t="inlineStr">
        <is>
          <t>설치 지원</t>
        </is>
      </c>
      <c r="G19" s="3" t="n">
        <v>1</v>
      </c>
      <c r="H19" s="4" t="n">
        <v>800000</v>
      </c>
      <c r="I19" s="4" t="n">
        <v>800000</v>
      </c>
      <c r="J19" t="inlineStr">
        <is>
          <t>최수아</t>
        </is>
      </c>
      <c r="K19" t="inlineStr">
        <is>
          <t>취소</t>
        </is>
      </c>
      <c r="L19" s="3" t="n">
        <v>1</v>
      </c>
    </row>
    <row r="20">
      <c r="A20" t="inlineStr">
        <is>
          <t>ORD-2026-0019</t>
        </is>
      </c>
      <c r="B20" s="2" t="n">
        <v>46037</v>
      </c>
      <c r="C20" t="inlineStr">
        <is>
          <t>한빛전자</t>
        </is>
      </c>
      <c r="D20" t="inlineStr">
        <is>
          <t>서울</t>
        </is>
      </c>
      <c r="E20" t="inlineStr">
        <is>
          <t>서비스</t>
        </is>
      </c>
      <c r="F20" t="inlineStr">
        <is>
          <t>정기 점검</t>
        </is>
      </c>
      <c r="G20" s="3" t="n">
        <v>1</v>
      </c>
      <c r="H20" s="4" t="n">
        <v>500000</v>
      </c>
      <c r="I20" s="4" t="n">
        <v>500000</v>
      </c>
      <c r="J20" t="inlineStr">
        <is>
          <t>이서연</t>
        </is>
      </c>
      <c r="K20" t="inlineStr">
        <is>
          <t>완료</t>
        </is>
      </c>
      <c r="L20" s="3" t="n">
        <v>1</v>
      </c>
    </row>
    <row r="21">
      <c r="A21" t="inlineStr">
        <is>
          <t>ORD-2026-0020</t>
        </is>
      </c>
      <c r="B21" s="2" t="n">
        <v>46037</v>
      </c>
      <c r="C21" t="inlineStr">
        <is>
          <t>명진화학</t>
        </is>
      </c>
      <c r="D21" t="inlineStr">
        <is>
          <t>울산</t>
        </is>
      </c>
      <c r="E21" t="inlineStr">
        <is>
          <t>모듈</t>
        </is>
      </c>
      <c r="F21" t="inlineStr">
        <is>
          <t>통신 모듈 TM-5</t>
        </is>
      </c>
      <c r="G21" s="3" t="n">
        <v>11</v>
      </c>
      <c r="H21" s="4" t="n">
        <v>290000</v>
      </c>
      <c r="I21" s="4" t="n">
        <v>3190000</v>
      </c>
      <c r="J21" t="inlineStr">
        <is>
          <t>최수아</t>
        </is>
      </c>
      <c r="K21" t="inlineStr">
        <is>
          <t>완료</t>
        </is>
      </c>
      <c r="L21" s="3" t="n">
        <v>1</v>
      </c>
    </row>
    <row r="22">
      <c r="A22" t="inlineStr">
        <is>
          <t>ORD-2026-0021</t>
        </is>
      </c>
      <c r="B22" s="2" t="n">
        <v>46039</v>
      </c>
      <c r="C22" t="inlineStr">
        <is>
          <t>백두정공</t>
        </is>
      </c>
      <c r="D22" t="inlineStr">
        <is>
          <t>대구</t>
        </is>
      </c>
      <c r="E22" t="inlineStr">
        <is>
          <t>부품</t>
        </is>
      </c>
      <c r="F22" t="inlineStr">
        <is>
          <t>기어 어셈블리</t>
        </is>
      </c>
      <c r="G22" s="3" t="n">
        <v>26</v>
      </c>
      <c r="H22" s="4" t="n">
        <v>120000</v>
      </c>
      <c r="I22" s="4" t="n">
        <v>3120000</v>
      </c>
      <c r="J22" t="inlineStr">
        <is>
          <t>이서연</t>
        </is>
      </c>
      <c r="K22" t="inlineStr">
        <is>
          <t>완료</t>
        </is>
      </c>
      <c r="L22" s="3" t="n">
        <v>1</v>
      </c>
    </row>
    <row r="23">
      <c r="A23" t="inlineStr">
        <is>
          <t>ORD-2026-0022</t>
        </is>
      </c>
      <c r="B23" s="2" t="n">
        <v>46041</v>
      </c>
      <c r="C23" t="inlineStr">
        <is>
          <t>한빛전자</t>
        </is>
      </c>
      <c r="D23" t="inlineStr">
        <is>
          <t>서울</t>
        </is>
      </c>
      <c r="E23" t="inlineStr">
        <is>
          <t>소모품</t>
        </is>
      </c>
      <c r="F23" t="inlineStr">
        <is>
          <t>윤활유 20L</t>
        </is>
      </c>
      <c r="G23" s="3" t="n">
        <v>179</v>
      </c>
      <c r="H23" s="4" t="n">
        <v>38000</v>
      </c>
      <c r="I23" s="4" t="n">
        <v>6802000</v>
      </c>
      <c r="J23" t="inlineStr">
        <is>
          <t>최수아</t>
        </is>
      </c>
      <c r="K23" t="inlineStr">
        <is>
          <t>완료</t>
        </is>
      </c>
      <c r="L23" s="3" t="n">
        <v>1</v>
      </c>
    </row>
    <row r="24">
      <c r="A24" t="inlineStr">
        <is>
          <t>ORD-2026-0023</t>
        </is>
      </c>
      <c r="B24" s="2" t="n">
        <v>46041</v>
      </c>
      <c r="C24" t="inlineStr">
        <is>
          <t>삼일기계</t>
        </is>
      </c>
      <c r="D24" t="inlineStr">
        <is>
          <t>대구</t>
        </is>
      </c>
      <c r="E24" t="inlineStr">
        <is>
          <t>부품</t>
        </is>
      </c>
      <c r="F24" t="inlineStr">
        <is>
          <t>센서 모듈 S1</t>
        </is>
      </c>
      <c r="G24" s="3" t="n">
        <v>36</v>
      </c>
      <c r="H24" s="4" t="n">
        <v>85000</v>
      </c>
      <c r="I24" s="4" t="n">
        <v>3060000</v>
      </c>
      <c r="J24" t="inlineStr">
        <is>
          <t>정우진</t>
        </is>
      </c>
      <c r="K24" t="inlineStr">
        <is>
          <t>완료</t>
        </is>
      </c>
      <c r="L24" s="3" t="n">
        <v>1</v>
      </c>
    </row>
    <row r="25">
      <c r="A25" t="inlineStr">
        <is>
          <t>ORD-2026-0024</t>
        </is>
      </c>
      <c r="B25" s="2" t="n">
        <v>46043</v>
      </c>
      <c r="C25" t="inlineStr">
        <is>
          <t>제일산업</t>
        </is>
      </c>
      <c r="D25" t="inlineStr">
        <is>
          <t>대전</t>
        </is>
      </c>
      <c r="E25" t="inlineStr">
        <is>
          <t>모듈</t>
        </is>
      </c>
      <c r="F25" t="inlineStr">
        <is>
          <t>제어 모듈 CM-100</t>
        </is>
      </c>
      <c r="G25" s="3" t="n">
        <v>3</v>
      </c>
      <c r="H25" s="4" t="n">
        <v>650000</v>
      </c>
      <c r="I25" s="4" t="n">
        <v>1950000</v>
      </c>
      <c r="J25" t="inlineStr">
        <is>
          <t>정우진</t>
        </is>
      </c>
      <c r="K25" t="inlineStr">
        <is>
          <t>완료</t>
        </is>
      </c>
      <c r="L25" s="3" t="n">
        <v>1</v>
      </c>
    </row>
    <row r="26">
      <c r="A26" t="inlineStr">
        <is>
          <t>ORD-2026-0025</t>
        </is>
      </c>
      <c r="B26" s="2" t="n">
        <v>46043</v>
      </c>
      <c r="C26" t="inlineStr">
        <is>
          <t>동양정밀</t>
        </is>
      </c>
      <c r="D26" t="inlineStr">
        <is>
          <t>인천</t>
        </is>
      </c>
      <c r="E26" t="inlineStr">
        <is>
          <t>서비스</t>
        </is>
      </c>
      <c r="F26" t="inlineStr">
        <is>
          <t>정기 점검</t>
        </is>
      </c>
      <c r="G26" s="3" t="n">
        <v>1</v>
      </c>
      <c r="H26" s="4" t="n">
        <v>500000</v>
      </c>
      <c r="I26" s="4" t="n">
        <v>500000</v>
      </c>
      <c r="J26" t="inlineStr">
        <is>
          <t>김민준</t>
        </is>
      </c>
      <c r="K26" t="inlineStr">
        <is>
          <t>대기</t>
        </is>
      </c>
      <c r="L26" s="3" t="n">
        <v>1</v>
      </c>
    </row>
    <row r="27">
      <c r="A27" t="inlineStr">
        <is>
          <t>ORD-2026-0026</t>
        </is>
      </c>
      <c r="B27" s="2" t="n">
        <v>46044</v>
      </c>
      <c r="C27" t="inlineStr">
        <is>
          <t>삼일기계</t>
        </is>
      </c>
      <c r="D27" t="inlineStr">
        <is>
          <t>대구</t>
        </is>
      </c>
      <c r="E27" t="inlineStr">
        <is>
          <t>부품</t>
        </is>
      </c>
      <c r="F27" t="inlineStr">
        <is>
          <t>센서 모듈 S1</t>
        </is>
      </c>
      <c r="G27" s="3" t="n">
        <v>27</v>
      </c>
      <c r="H27" s="4" t="n">
        <v>85000</v>
      </c>
      <c r="I27" s="4" t="n">
        <v>2295000</v>
      </c>
      <c r="J27" t="inlineStr">
        <is>
          <t>이서연</t>
        </is>
      </c>
      <c r="K27" t="inlineStr">
        <is>
          <t>완료</t>
        </is>
      </c>
      <c r="L27" s="3" t="n">
        <v>1</v>
      </c>
    </row>
    <row r="28">
      <c r="A28" t="inlineStr">
        <is>
          <t>ORD-2026-0027</t>
        </is>
      </c>
      <c r="B28" s="2" t="n">
        <v>46045</v>
      </c>
      <c r="C28" t="inlineStr">
        <is>
          <t>나래시스템</t>
        </is>
      </c>
      <c r="D28" t="inlineStr">
        <is>
          <t>서울</t>
        </is>
      </c>
      <c r="E28" t="inlineStr">
        <is>
          <t>부품</t>
        </is>
      </c>
      <c r="F28" t="inlineStr">
        <is>
          <t>기어 어셈블리</t>
        </is>
      </c>
      <c r="G28" s="3" t="n">
        <v>12</v>
      </c>
      <c r="H28" s="4" t="n">
        <v>120000</v>
      </c>
      <c r="I28" s="4" t="n">
        <v>1440000</v>
      </c>
      <c r="J28" t="inlineStr">
        <is>
          <t>최수아</t>
        </is>
      </c>
      <c r="K28" t="inlineStr">
        <is>
          <t>완료</t>
        </is>
      </c>
      <c r="L28" s="3" t="n">
        <v>1</v>
      </c>
    </row>
    <row r="29">
      <c r="A29" t="inlineStr">
        <is>
          <t>ORD-2026-0028</t>
        </is>
      </c>
      <c r="B29" s="2" t="n">
        <v>46045</v>
      </c>
      <c r="C29" t="inlineStr">
        <is>
          <t>세진통상</t>
        </is>
      </c>
      <c r="D29" t="inlineStr">
        <is>
          <t>경기</t>
        </is>
      </c>
      <c r="E29" t="inlineStr">
        <is>
          <t>부품</t>
        </is>
      </c>
      <c r="F29" t="inlineStr">
        <is>
          <t>센서 모듈 S1</t>
        </is>
      </c>
      <c r="G29" s="3" t="n">
        <v>79</v>
      </c>
      <c r="H29" s="4" t="n">
        <v>85000</v>
      </c>
      <c r="I29" s="4" t="n">
        <v>6715000</v>
      </c>
      <c r="J29" t="inlineStr">
        <is>
          <t>최수아</t>
        </is>
      </c>
      <c r="K29" t="inlineStr">
        <is>
          <t>완료</t>
        </is>
      </c>
      <c r="L29" s="3" t="n">
        <v>1</v>
      </c>
    </row>
    <row r="30">
      <c r="A30" t="inlineStr">
        <is>
          <t>ORD-2026-0029</t>
        </is>
      </c>
      <c r="B30" s="2" t="n">
        <v>46045</v>
      </c>
      <c r="C30" t="inlineStr">
        <is>
          <t>가온테크</t>
        </is>
      </c>
      <c r="D30" t="inlineStr">
        <is>
          <t>서울</t>
        </is>
      </c>
      <c r="E30" t="inlineStr">
        <is>
          <t>부품</t>
        </is>
      </c>
      <c r="F30" t="inlineStr">
        <is>
          <t>베어링 세트</t>
        </is>
      </c>
      <c r="G30" s="3" t="n">
        <v>78</v>
      </c>
      <c r="H30" s="4" t="n">
        <v>45000</v>
      </c>
      <c r="I30" s="4" t="n">
        <v>3510000</v>
      </c>
      <c r="J30" t="inlineStr">
        <is>
          <t>박지훈</t>
        </is>
      </c>
      <c r="K30" t="inlineStr">
        <is>
          <t>완료</t>
        </is>
      </c>
      <c r="L30" s="3" t="n">
        <v>1</v>
      </c>
    </row>
    <row r="31">
      <c r="A31" t="inlineStr">
        <is>
          <t>ORD-2026-0030</t>
        </is>
      </c>
      <c r="B31" s="2" t="n">
        <v>46047</v>
      </c>
      <c r="C31" t="inlineStr">
        <is>
          <t>삼일기계</t>
        </is>
      </c>
      <c r="D31" t="inlineStr">
        <is>
          <t>대구</t>
        </is>
      </c>
      <c r="E31" t="inlineStr">
        <is>
          <t>모듈</t>
        </is>
      </c>
      <c r="F31" t="inlineStr">
        <is>
          <t>전원 모듈 PM-20</t>
        </is>
      </c>
      <c r="G31" s="3" t="n">
        <v>6</v>
      </c>
      <c r="H31" s="4" t="n">
        <v>380000</v>
      </c>
      <c r="I31" s="4" t="n">
        <v>2280000</v>
      </c>
      <c r="J31" t="inlineStr">
        <is>
          <t>이서연</t>
        </is>
      </c>
      <c r="K31" t="inlineStr">
        <is>
          <t>취소</t>
        </is>
      </c>
      <c r="L31" s="3" t="n">
        <v>1</v>
      </c>
    </row>
    <row r="32">
      <c r="A32" t="inlineStr">
        <is>
          <t>ORD-2026-0031</t>
        </is>
      </c>
      <c r="B32" s="2" t="n">
        <v>46048</v>
      </c>
      <c r="C32" t="inlineStr">
        <is>
          <t>태양금속</t>
        </is>
      </c>
      <c r="D32" t="inlineStr">
        <is>
          <t>부산</t>
        </is>
      </c>
      <c r="E32" t="inlineStr">
        <is>
          <t>소모품</t>
        </is>
      </c>
      <c r="F32" t="inlineStr">
        <is>
          <t>필터 카트리지</t>
        </is>
      </c>
      <c r="G32" s="3" t="n">
        <v>100</v>
      </c>
      <c r="H32" s="4" t="n">
        <v>22000</v>
      </c>
      <c r="I32" s="4" t="n">
        <v>2200000</v>
      </c>
      <c r="J32" t="inlineStr">
        <is>
          <t>김민준</t>
        </is>
      </c>
      <c r="K32" t="inlineStr">
        <is>
          <t>완료</t>
        </is>
      </c>
      <c r="L32" s="3" t="n">
        <v>1</v>
      </c>
    </row>
    <row r="33">
      <c r="A33" t="inlineStr">
        <is>
          <t>ORD-2026-0032</t>
        </is>
      </c>
      <c r="B33" s="2" t="n">
        <v>46048</v>
      </c>
      <c r="C33" t="inlineStr">
        <is>
          <t>삼일기계</t>
        </is>
      </c>
      <c r="D33" t="inlineStr">
        <is>
          <t>대구</t>
        </is>
      </c>
      <c r="E33" t="inlineStr">
        <is>
          <t>서비스</t>
        </is>
      </c>
      <c r="F33" t="inlineStr">
        <is>
          <t>설치 지원</t>
        </is>
      </c>
      <c r="G33" s="3" t="n">
        <v>1</v>
      </c>
      <c r="H33" s="4" t="n">
        <v>800000</v>
      </c>
      <c r="I33" s="4" t="n">
        <v>800000</v>
      </c>
      <c r="J33" t="inlineStr">
        <is>
          <t>최수아</t>
        </is>
      </c>
      <c r="K33" t="inlineStr">
        <is>
          <t>취소</t>
        </is>
      </c>
      <c r="L33" s="3" t="n">
        <v>1</v>
      </c>
    </row>
    <row r="34">
      <c r="A34" t="inlineStr">
        <is>
          <t>ORD-2026-0033</t>
        </is>
      </c>
      <c r="B34" s="2" t="n">
        <v>46048</v>
      </c>
      <c r="C34" t="inlineStr">
        <is>
          <t>한빛전자</t>
        </is>
      </c>
      <c r="D34" t="inlineStr">
        <is>
          <t>서울</t>
        </is>
      </c>
      <c r="E34" t="inlineStr">
        <is>
          <t>모듈</t>
        </is>
      </c>
      <c r="F34" t="inlineStr">
        <is>
          <t>통신 모듈 TM-5</t>
        </is>
      </c>
      <c r="G34" s="3" t="n">
        <v>5</v>
      </c>
      <c r="H34" s="4" t="n">
        <v>290000</v>
      </c>
      <c r="I34" s="4" t="n">
        <v>1450000</v>
      </c>
      <c r="J34" t="inlineStr">
        <is>
          <t>박지훈</t>
        </is>
      </c>
      <c r="K34" t="inlineStr">
        <is>
          <t>완료</t>
        </is>
      </c>
      <c r="L34" s="3" t="n">
        <v>1</v>
      </c>
    </row>
    <row r="35">
      <c r="A35" t="inlineStr">
        <is>
          <t>ORD-2026-0034</t>
        </is>
      </c>
      <c r="B35" s="2" t="n">
        <v>46049</v>
      </c>
      <c r="C35" t="inlineStr">
        <is>
          <t>한빛전자</t>
        </is>
      </c>
      <c r="D35" t="inlineStr">
        <is>
          <t>서울</t>
        </is>
      </c>
      <c r="E35" t="inlineStr">
        <is>
          <t>소모품</t>
        </is>
      </c>
      <c r="F35" t="inlineStr">
        <is>
          <t>필터 카트리지</t>
        </is>
      </c>
      <c r="G35" s="3" t="n">
        <v>42</v>
      </c>
      <c r="H35" s="4" t="n">
        <v>22000</v>
      </c>
      <c r="I35" s="4" t="n">
        <v>924000</v>
      </c>
      <c r="J35" t="inlineStr">
        <is>
          <t>박지훈</t>
        </is>
      </c>
      <c r="K35" t="inlineStr">
        <is>
          <t>완료</t>
        </is>
      </c>
      <c r="L35" s="3" t="n">
        <v>1</v>
      </c>
    </row>
    <row r="36">
      <c r="A36" t="inlineStr">
        <is>
          <t>ORD-2026-0035</t>
        </is>
      </c>
      <c r="B36" s="2" t="n">
        <v>46050</v>
      </c>
      <c r="C36" t="inlineStr">
        <is>
          <t>미래테크</t>
        </is>
      </c>
      <c r="D36" t="inlineStr">
        <is>
          <t>서울</t>
        </is>
      </c>
      <c r="E36" t="inlineStr">
        <is>
          <t>부품</t>
        </is>
      </c>
      <c r="F36" t="inlineStr">
        <is>
          <t>베어링 세트</t>
        </is>
      </c>
      <c r="G36" s="3" t="n">
        <v>55</v>
      </c>
      <c r="H36" s="4" t="n">
        <v>45000</v>
      </c>
      <c r="I36" s="4" t="n">
        <v>2475000</v>
      </c>
      <c r="J36" t="inlineStr">
        <is>
          <t>최수아</t>
        </is>
      </c>
      <c r="K36" t="inlineStr">
        <is>
          <t>대기</t>
        </is>
      </c>
      <c r="L36" s="3" t="n">
        <v>1</v>
      </c>
    </row>
    <row r="37">
      <c r="A37" t="inlineStr">
        <is>
          <t>ORD-2026-0036</t>
        </is>
      </c>
      <c r="B37" s="2" t="n">
        <v>46051</v>
      </c>
      <c r="C37" t="inlineStr">
        <is>
          <t>동양정밀</t>
        </is>
      </c>
      <c r="D37" t="inlineStr">
        <is>
          <t>인천</t>
        </is>
      </c>
      <c r="E37" t="inlineStr">
        <is>
          <t>모듈</t>
        </is>
      </c>
      <c r="F37" t="inlineStr">
        <is>
          <t>전원 모듈 PM-20</t>
        </is>
      </c>
      <c r="G37" s="3" t="n">
        <v>12</v>
      </c>
      <c r="H37" s="4" t="n">
        <v>380000</v>
      </c>
      <c r="I37" s="4" t="n">
        <v>4560000</v>
      </c>
      <c r="J37" t="inlineStr">
        <is>
          <t>이서연</t>
        </is>
      </c>
      <c r="K37" t="inlineStr">
        <is>
          <t>취소</t>
        </is>
      </c>
      <c r="L37" s="3" t="n">
        <v>1</v>
      </c>
    </row>
    <row r="38">
      <c r="A38" t="inlineStr">
        <is>
          <t>ORD-2026-0037</t>
        </is>
      </c>
      <c r="B38" s="2" t="n">
        <v>46053</v>
      </c>
      <c r="C38" t="inlineStr">
        <is>
          <t>제일산업</t>
        </is>
      </c>
      <c r="D38" t="inlineStr">
        <is>
          <t>대전</t>
        </is>
      </c>
      <c r="E38" t="inlineStr">
        <is>
          <t>소모품</t>
        </is>
      </c>
      <c r="F38" t="inlineStr">
        <is>
          <t>필터 카트리지</t>
        </is>
      </c>
      <c r="G38" s="3" t="n">
        <v>56</v>
      </c>
      <c r="H38" s="4" t="n">
        <v>22000</v>
      </c>
      <c r="I38" s="4" t="n">
        <v>1232000</v>
      </c>
      <c r="J38" t="inlineStr">
        <is>
          <t>김민준</t>
        </is>
      </c>
      <c r="K38" t="inlineStr">
        <is>
          <t>취소</t>
        </is>
      </c>
      <c r="L38" s="3" t="n">
        <v>1</v>
      </c>
    </row>
    <row r="39">
      <c r="A39" t="inlineStr">
        <is>
          <t>ORD-2026-0038</t>
        </is>
      </c>
      <c r="B39" s="2" t="n">
        <v>46054</v>
      </c>
      <c r="C39" t="inlineStr">
        <is>
          <t>한빛전자</t>
        </is>
      </c>
      <c r="D39" t="inlineStr">
        <is>
          <t>서울</t>
        </is>
      </c>
      <c r="E39" t="inlineStr">
        <is>
          <t>모듈</t>
        </is>
      </c>
      <c r="F39" t="inlineStr">
        <is>
          <t>통신 모듈 TM-5</t>
        </is>
      </c>
      <c r="G39" s="3" t="n">
        <v>7</v>
      </c>
      <c r="H39" s="4" t="n">
        <v>290000</v>
      </c>
      <c r="I39" s="4" t="n">
        <v>2030000</v>
      </c>
      <c r="J39" t="inlineStr">
        <is>
          <t>박지훈</t>
        </is>
      </c>
      <c r="K39" t="inlineStr">
        <is>
          <t>완료</t>
        </is>
      </c>
      <c r="L39" s="3" t="n">
        <v>2</v>
      </c>
    </row>
    <row r="40">
      <c r="A40" t="inlineStr">
        <is>
          <t>ORD-2026-0039</t>
        </is>
      </c>
      <c r="B40" s="2" t="n">
        <v>46055</v>
      </c>
      <c r="C40" t="inlineStr">
        <is>
          <t>대성물산</t>
        </is>
      </c>
      <c r="D40" t="inlineStr">
        <is>
          <t>경기</t>
        </is>
      </c>
      <c r="E40" t="inlineStr">
        <is>
          <t>부품</t>
        </is>
      </c>
      <c r="F40" t="inlineStr">
        <is>
          <t>베어링 세트</t>
        </is>
      </c>
      <c r="G40" s="3" t="n">
        <v>60</v>
      </c>
      <c r="H40" s="4" t="n">
        <v>45000</v>
      </c>
      <c r="I40" s="4" t="n">
        <v>2700000</v>
      </c>
      <c r="J40" t="inlineStr">
        <is>
          <t>정우진</t>
        </is>
      </c>
      <c r="K40" t="inlineStr">
        <is>
          <t>완료</t>
        </is>
      </c>
      <c r="L40" s="3" t="n">
        <v>2</v>
      </c>
    </row>
    <row r="41">
      <c r="A41" t="inlineStr">
        <is>
          <t>ORD-2026-0040</t>
        </is>
      </c>
      <c r="B41" s="2" t="n">
        <v>46055</v>
      </c>
      <c r="C41" t="inlineStr">
        <is>
          <t>백두정공</t>
        </is>
      </c>
      <c r="D41" t="inlineStr">
        <is>
          <t>대구</t>
        </is>
      </c>
      <c r="E41" t="inlineStr">
        <is>
          <t>모듈</t>
        </is>
      </c>
      <c r="F41" t="inlineStr">
        <is>
          <t>통신 모듈 TM-5</t>
        </is>
      </c>
      <c r="G41" s="3" t="n">
        <v>2</v>
      </c>
      <c r="H41" s="4" t="n">
        <v>290000</v>
      </c>
      <c r="I41" s="4" t="n">
        <v>580000</v>
      </c>
      <c r="J41" t="inlineStr">
        <is>
          <t>최수아</t>
        </is>
      </c>
      <c r="K41" t="inlineStr">
        <is>
          <t>완료</t>
        </is>
      </c>
      <c r="L41" s="3" t="n">
        <v>2</v>
      </c>
    </row>
    <row r="42">
      <c r="A42" t="inlineStr">
        <is>
          <t>ORD-2026-0041</t>
        </is>
      </c>
      <c r="B42" s="2" t="n">
        <v>46055</v>
      </c>
      <c r="C42" t="inlineStr">
        <is>
          <t>대성물산</t>
        </is>
      </c>
      <c r="D42" t="inlineStr">
        <is>
          <t>경기</t>
        </is>
      </c>
      <c r="E42" t="inlineStr">
        <is>
          <t>부품</t>
        </is>
      </c>
      <c r="F42" t="inlineStr">
        <is>
          <t>기어 어셈블리</t>
        </is>
      </c>
      <c r="G42" s="3" t="n">
        <v>48</v>
      </c>
      <c r="H42" s="4" t="n">
        <v>120000</v>
      </c>
      <c r="I42" s="4" t="n">
        <v>5760000</v>
      </c>
      <c r="J42" t="inlineStr">
        <is>
          <t>이서연</t>
        </is>
      </c>
      <c r="K42" t="inlineStr">
        <is>
          <t>완료</t>
        </is>
      </c>
      <c r="L42" s="3" t="n">
        <v>2</v>
      </c>
    </row>
    <row r="43">
      <c r="A43" t="inlineStr">
        <is>
          <t>ORD-2026-0042</t>
        </is>
      </c>
      <c r="B43" s="2" t="n">
        <v>46056</v>
      </c>
      <c r="C43" t="inlineStr">
        <is>
          <t>세진통상</t>
        </is>
      </c>
      <c r="D43" t="inlineStr">
        <is>
          <t>경기</t>
        </is>
      </c>
      <c r="E43" t="inlineStr">
        <is>
          <t>모듈</t>
        </is>
      </c>
      <c r="F43" t="inlineStr">
        <is>
          <t>통신 모듈 TM-5</t>
        </is>
      </c>
      <c r="G43" s="3" t="n">
        <v>12</v>
      </c>
      <c r="H43" s="4" t="n">
        <v>290000</v>
      </c>
      <c r="I43" s="4" t="n">
        <v>3480000</v>
      </c>
      <c r="J43" t="inlineStr">
        <is>
          <t>이서연</t>
        </is>
      </c>
      <c r="K43" t="inlineStr">
        <is>
          <t>완료</t>
        </is>
      </c>
      <c r="L43" s="3" t="n">
        <v>2</v>
      </c>
    </row>
    <row r="44">
      <c r="A44" t="inlineStr">
        <is>
          <t>ORD-2026-0043</t>
        </is>
      </c>
      <c r="B44" s="2" t="n">
        <v>46057</v>
      </c>
      <c r="C44" t="inlineStr">
        <is>
          <t>대성물산</t>
        </is>
      </c>
      <c r="D44" t="inlineStr">
        <is>
          <t>경기</t>
        </is>
      </c>
      <c r="E44" t="inlineStr">
        <is>
          <t>모듈</t>
        </is>
      </c>
      <c r="F44" t="inlineStr">
        <is>
          <t>제어 모듈 CM-100</t>
        </is>
      </c>
      <c r="G44" s="3" t="n">
        <v>6</v>
      </c>
      <c r="H44" s="4" t="n">
        <v>650000</v>
      </c>
      <c r="I44" s="4" t="n">
        <v>3900000</v>
      </c>
      <c r="J44" t="inlineStr">
        <is>
          <t>최수아</t>
        </is>
      </c>
      <c r="K44" t="inlineStr">
        <is>
          <t>완료</t>
        </is>
      </c>
      <c r="L44" s="3" t="n">
        <v>2</v>
      </c>
    </row>
    <row r="45">
      <c r="A45" t="inlineStr">
        <is>
          <t>ORD-2026-0044</t>
        </is>
      </c>
      <c r="B45" s="2" t="n">
        <v>46058</v>
      </c>
      <c r="C45" t="inlineStr">
        <is>
          <t>푸른자동화</t>
        </is>
      </c>
      <c r="D45" t="inlineStr">
        <is>
          <t>광주</t>
        </is>
      </c>
      <c r="E45" t="inlineStr">
        <is>
          <t>소모품</t>
        </is>
      </c>
      <c r="F45" t="inlineStr">
        <is>
          <t>윤활유 20L</t>
        </is>
      </c>
      <c r="G45" s="3" t="n">
        <v>197</v>
      </c>
      <c r="H45" s="4" t="n">
        <v>38000</v>
      </c>
      <c r="I45" s="4" t="n">
        <v>7486000</v>
      </c>
      <c r="J45" t="inlineStr">
        <is>
          <t>최수아</t>
        </is>
      </c>
      <c r="K45" t="inlineStr">
        <is>
          <t>완료</t>
        </is>
      </c>
      <c r="L45" s="3" t="n">
        <v>2</v>
      </c>
    </row>
    <row r="46">
      <c r="A46" t="inlineStr">
        <is>
          <t>ORD-2026-0045</t>
        </is>
      </c>
      <c r="B46" s="2" t="n">
        <v>46058</v>
      </c>
      <c r="C46" t="inlineStr">
        <is>
          <t>청운상사</t>
        </is>
      </c>
      <c r="D46" t="inlineStr">
        <is>
          <t>부산</t>
        </is>
      </c>
      <c r="E46" t="inlineStr">
        <is>
          <t>부품</t>
        </is>
      </c>
      <c r="F46" t="inlineStr">
        <is>
          <t>기어 어셈블리</t>
        </is>
      </c>
      <c r="G46" s="3" t="n">
        <v>75</v>
      </c>
      <c r="H46" s="4" t="n">
        <v>120000</v>
      </c>
      <c r="I46" s="4" t="n">
        <v>9000000</v>
      </c>
      <c r="J46" t="inlineStr">
        <is>
          <t>정우진</t>
        </is>
      </c>
      <c r="K46" t="inlineStr">
        <is>
          <t>완료</t>
        </is>
      </c>
      <c r="L46" s="3" t="n">
        <v>2</v>
      </c>
    </row>
    <row r="47">
      <c r="A47" t="inlineStr">
        <is>
          <t>ORD-2026-0046</t>
        </is>
      </c>
      <c r="B47" s="2" t="n">
        <v>46058</v>
      </c>
      <c r="C47" t="inlineStr">
        <is>
          <t>청운상사</t>
        </is>
      </c>
      <c r="D47" t="inlineStr">
        <is>
          <t>부산</t>
        </is>
      </c>
      <c r="E47" t="inlineStr">
        <is>
          <t>부품</t>
        </is>
      </c>
      <c r="F47" t="inlineStr">
        <is>
          <t>베어링 세트</t>
        </is>
      </c>
      <c r="G47" s="3" t="n">
        <v>11</v>
      </c>
      <c r="H47" s="4" t="n">
        <v>45000</v>
      </c>
      <c r="I47" s="4" t="n">
        <v>495000</v>
      </c>
      <c r="J47" t="inlineStr">
        <is>
          <t>박지훈</t>
        </is>
      </c>
      <c r="K47" t="inlineStr">
        <is>
          <t>완료</t>
        </is>
      </c>
      <c r="L47" s="3" t="n">
        <v>2</v>
      </c>
    </row>
    <row r="48">
      <c r="A48" t="inlineStr">
        <is>
          <t>ORD-2026-0047</t>
        </is>
      </c>
      <c r="B48" s="2" t="n">
        <v>46060</v>
      </c>
      <c r="C48" t="inlineStr">
        <is>
          <t>제일산업</t>
        </is>
      </c>
      <c r="D48" t="inlineStr">
        <is>
          <t>대전</t>
        </is>
      </c>
      <c r="E48" t="inlineStr">
        <is>
          <t>소모품</t>
        </is>
      </c>
      <c r="F48" t="inlineStr">
        <is>
          <t>필터 카트리지</t>
        </is>
      </c>
      <c r="G48" s="3" t="n">
        <v>63</v>
      </c>
      <c r="H48" s="4" t="n">
        <v>22000</v>
      </c>
      <c r="I48" s="4" t="n">
        <v>1386000</v>
      </c>
      <c r="J48" t="inlineStr">
        <is>
          <t>김민준</t>
        </is>
      </c>
      <c r="K48" t="inlineStr">
        <is>
          <t>완료</t>
        </is>
      </c>
      <c r="L48" s="3" t="n">
        <v>2</v>
      </c>
    </row>
    <row r="49">
      <c r="A49" t="inlineStr">
        <is>
          <t>ORD-2026-0048</t>
        </is>
      </c>
      <c r="B49" s="2" t="n">
        <v>46062</v>
      </c>
      <c r="C49" t="inlineStr">
        <is>
          <t>명진화학</t>
        </is>
      </c>
      <c r="D49" t="inlineStr">
        <is>
          <t>울산</t>
        </is>
      </c>
      <c r="E49" t="inlineStr">
        <is>
          <t>모듈</t>
        </is>
      </c>
      <c r="F49" t="inlineStr">
        <is>
          <t>통신 모듈 TM-5</t>
        </is>
      </c>
      <c r="G49" s="3" t="n">
        <v>11</v>
      </c>
      <c r="H49" s="4" t="n">
        <v>290000</v>
      </c>
      <c r="I49" s="4" t="n">
        <v>3190000</v>
      </c>
      <c r="J49" t="inlineStr">
        <is>
          <t>이서연</t>
        </is>
      </c>
      <c r="K49" t="inlineStr">
        <is>
          <t>완료</t>
        </is>
      </c>
      <c r="L49" s="3" t="n">
        <v>2</v>
      </c>
    </row>
    <row r="50">
      <c r="A50" t="inlineStr">
        <is>
          <t>ORD-2026-0049</t>
        </is>
      </c>
      <c r="B50" s="2" t="n">
        <v>46062</v>
      </c>
      <c r="C50" t="inlineStr">
        <is>
          <t>제일산업</t>
        </is>
      </c>
      <c r="D50" t="inlineStr">
        <is>
          <t>대전</t>
        </is>
      </c>
      <c r="E50" t="inlineStr">
        <is>
          <t>서비스</t>
        </is>
      </c>
      <c r="F50" t="inlineStr">
        <is>
          <t>기술 교육(1일)</t>
        </is>
      </c>
      <c r="G50" s="3" t="n">
        <v>1</v>
      </c>
      <c r="H50" s="4" t="n">
        <v>1200000</v>
      </c>
      <c r="I50" s="4" t="n">
        <v>1200000</v>
      </c>
      <c r="J50" t="inlineStr">
        <is>
          <t>최수아</t>
        </is>
      </c>
      <c r="K50" t="inlineStr">
        <is>
          <t>대기</t>
        </is>
      </c>
      <c r="L50" s="3" t="n">
        <v>2</v>
      </c>
    </row>
    <row r="51">
      <c r="A51" t="inlineStr">
        <is>
          <t>ORD-2026-0050</t>
        </is>
      </c>
      <c r="B51" s="2" t="n">
        <v>46063</v>
      </c>
      <c r="C51" t="inlineStr">
        <is>
          <t>동양정밀</t>
        </is>
      </c>
      <c r="D51" t="inlineStr">
        <is>
          <t>인천</t>
        </is>
      </c>
      <c r="E51" t="inlineStr">
        <is>
          <t>소모품</t>
        </is>
      </c>
      <c r="F51" t="inlineStr">
        <is>
          <t>윤활유 20L</t>
        </is>
      </c>
      <c r="G51" s="3" t="n">
        <v>118</v>
      </c>
      <c r="H51" s="4" t="n">
        <v>38000</v>
      </c>
      <c r="I51" s="4" t="n">
        <v>4484000</v>
      </c>
      <c r="J51" t="inlineStr">
        <is>
          <t>김민준</t>
        </is>
      </c>
      <c r="K51" t="inlineStr">
        <is>
          <t>완료</t>
        </is>
      </c>
      <c r="L51" s="3" t="n">
        <v>2</v>
      </c>
    </row>
    <row r="52">
      <c r="A52" t="inlineStr">
        <is>
          <t>ORD-2026-0051</t>
        </is>
      </c>
      <c r="B52" s="2" t="n">
        <v>46065</v>
      </c>
      <c r="C52" t="inlineStr">
        <is>
          <t>푸른자동화</t>
        </is>
      </c>
      <c r="D52" t="inlineStr">
        <is>
          <t>광주</t>
        </is>
      </c>
      <c r="E52" t="inlineStr">
        <is>
          <t>소모품</t>
        </is>
      </c>
      <c r="F52" t="inlineStr">
        <is>
          <t>필터 카트리지</t>
        </is>
      </c>
      <c r="G52" s="3" t="n">
        <v>145</v>
      </c>
      <c r="H52" s="4" t="n">
        <v>22000</v>
      </c>
      <c r="I52" s="4" t="n">
        <v>3190000</v>
      </c>
      <c r="J52" t="inlineStr">
        <is>
          <t>정우진</t>
        </is>
      </c>
      <c r="K52" t="inlineStr">
        <is>
          <t>취소</t>
        </is>
      </c>
      <c r="L52" s="3" t="n">
        <v>2</v>
      </c>
    </row>
    <row r="53">
      <c r="A53" t="inlineStr">
        <is>
          <t>ORD-2026-0052</t>
        </is>
      </c>
      <c r="B53" s="2" t="n">
        <v>46065</v>
      </c>
      <c r="C53" t="inlineStr">
        <is>
          <t>제일산업</t>
        </is>
      </c>
      <c r="D53" t="inlineStr">
        <is>
          <t>대전</t>
        </is>
      </c>
      <c r="E53" t="inlineStr">
        <is>
          <t>부품</t>
        </is>
      </c>
      <c r="F53" t="inlineStr">
        <is>
          <t>센서 모듈 S1</t>
        </is>
      </c>
      <c r="G53" s="3" t="n">
        <v>66</v>
      </c>
      <c r="H53" s="4" t="n">
        <v>85000</v>
      </c>
      <c r="I53" s="4" t="n">
        <v>5610000</v>
      </c>
      <c r="J53" t="inlineStr">
        <is>
          <t>이서연</t>
        </is>
      </c>
      <c r="K53" t="inlineStr">
        <is>
          <t>완료</t>
        </is>
      </c>
      <c r="L53" s="3" t="n">
        <v>2</v>
      </c>
    </row>
    <row r="54">
      <c r="A54" t="inlineStr">
        <is>
          <t>ORD-2026-0053</t>
        </is>
      </c>
      <c r="B54" s="2" t="n">
        <v>46065</v>
      </c>
      <c r="C54" t="inlineStr">
        <is>
          <t>한빛전자</t>
        </is>
      </c>
      <c r="D54" t="inlineStr">
        <is>
          <t>서울</t>
        </is>
      </c>
      <c r="E54" t="inlineStr">
        <is>
          <t>서비스</t>
        </is>
      </c>
      <c r="F54" t="inlineStr">
        <is>
          <t>정기 점검</t>
        </is>
      </c>
      <c r="G54" s="3" t="n">
        <v>2</v>
      </c>
      <c r="H54" s="4" t="n">
        <v>500000</v>
      </c>
      <c r="I54" s="4" t="n">
        <v>1000000</v>
      </c>
      <c r="J54" t="inlineStr">
        <is>
          <t>김민준</t>
        </is>
      </c>
      <c r="K54" t="inlineStr">
        <is>
          <t>완료</t>
        </is>
      </c>
      <c r="L54" s="3" t="n">
        <v>2</v>
      </c>
    </row>
    <row r="55">
      <c r="A55" t="inlineStr">
        <is>
          <t>ORD-2026-0054</t>
        </is>
      </c>
      <c r="B55" s="2" t="n">
        <v>46066</v>
      </c>
      <c r="C55" t="inlineStr">
        <is>
          <t>푸른자동화</t>
        </is>
      </c>
      <c r="D55" t="inlineStr">
        <is>
          <t>광주</t>
        </is>
      </c>
      <c r="E55" t="inlineStr">
        <is>
          <t>소모품</t>
        </is>
      </c>
      <c r="F55" t="inlineStr">
        <is>
          <t>절연 테이프(50개)</t>
        </is>
      </c>
      <c r="G55" s="3" t="n">
        <v>166</v>
      </c>
      <c r="H55" s="4" t="n">
        <v>15000</v>
      </c>
      <c r="I55" s="4" t="n">
        <v>2490000</v>
      </c>
      <c r="J55" t="inlineStr">
        <is>
          <t>박지훈</t>
        </is>
      </c>
      <c r="K55" t="inlineStr">
        <is>
          <t>완료</t>
        </is>
      </c>
      <c r="L55" s="3" t="n">
        <v>2</v>
      </c>
    </row>
    <row r="56">
      <c r="A56" t="inlineStr">
        <is>
          <t>ORD-2026-0055</t>
        </is>
      </c>
      <c r="B56" s="2" t="n">
        <v>46066</v>
      </c>
      <c r="C56" t="inlineStr">
        <is>
          <t>한빛전자</t>
        </is>
      </c>
      <c r="D56" t="inlineStr">
        <is>
          <t>서울</t>
        </is>
      </c>
      <c r="E56" t="inlineStr">
        <is>
          <t>부품</t>
        </is>
      </c>
      <c r="F56" t="inlineStr">
        <is>
          <t>베어링 세트</t>
        </is>
      </c>
      <c r="G56" s="3" t="n">
        <v>30</v>
      </c>
      <c r="H56" s="4" t="n">
        <v>45000</v>
      </c>
      <c r="I56" s="4" t="n">
        <v>1350000</v>
      </c>
      <c r="J56" t="inlineStr">
        <is>
          <t>최수아</t>
        </is>
      </c>
      <c r="K56" t="inlineStr">
        <is>
          <t>대기</t>
        </is>
      </c>
      <c r="L56" s="3" t="n">
        <v>2</v>
      </c>
    </row>
    <row r="57">
      <c r="A57" t="inlineStr">
        <is>
          <t>ORD-2026-0056</t>
        </is>
      </c>
      <c r="B57" s="2" t="n">
        <v>46067</v>
      </c>
      <c r="C57" t="inlineStr">
        <is>
          <t>한빛전자</t>
        </is>
      </c>
      <c r="D57" t="inlineStr">
        <is>
          <t>서울</t>
        </is>
      </c>
      <c r="E57" t="inlineStr">
        <is>
          <t>모듈</t>
        </is>
      </c>
      <c r="F57" t="inlineStr">
        <is>
          <t>전원 모듈 PM-20</t>
        </is>
      </c>
      <c r="G57" s="3" t="n">
        <v>5</v>
      </c>
      <c r="H57" s="4" t="n">
        <v>380000</v>
      </c>
      <c r="I57" s="4" t="n">
        <v>1900000</v>
      </c>
      <c r="J57" t="inlineStr">
        <is>
          <t>박지훈</t>
        </is>
      </c>
      <c r="K57" t="inlineStr">
        <is>
          <t>완료</t>
        </is>
      </c>
      <c r="L57" s="3" t="n">
        <v>2</v>
      </c>
    </row>
    <row r="58">
      <c r="A58" t="inlineStr">
        <is>
          <t>ORD-2026-0057</t>
        </is>
      </c>
      <c r="B58" s="2" t="n">
        <v>46070</v>
      </c>
      <c r="C58" t="inlineStr">
        <is>
          <t>한빛전자</t>
        </is>
      </c>
      <c r="D58" t="inlineStr">
        <is>
          <t>서울</t>
        </is>
      </c>
      <c r="E58" t="inlineStr">
        <is>
          <t>소모품</t>
        </is>
      </c>
      <c r="F58" t="inlineStr">
        <is>
          <t>절연 테이프(50개)</t>
        </is>
      </c>
      <c r="G58" s="3" t="n">
        <v>27</v>
      </c>
      <c r="H58" s="4" t="n">
        <v>15000</v>
      </c>
      <c r="I58" s="4" t="n">
        <v>405000</v>
      </c>
      <c r="J58" t="inlineStr">
        <is>
          <t>최수아</t>
        </is>
      </c>
      <c r="K58" t="inlineStr">
        <is>
          <t>완료</t>
        </is>
      </c>
      <c r="L58" s="3" t="n">
        <v>2</v>
      </c>
    </row>
    <row r="59">
      <c r="A59" t="inlineStr">
        <is>
          <t>ORD-2026-0058</t>
        </is>
      </c>
      <c r="B59" s="2" t="n">
        <v>46076</v>
      </c>
      <c r="C59" t="inlineStr">
        <is>
          <t>동양정밀</t>
        </is>
      </c>
      <c r="D59" t="inlineStr">
        <is>
          <t>인천</t>
        </is>
      </c>
      <c r="E59" t="inlineStr">
        <is>
          <t>서비스</t>
        </is>
      </c>
      <c r="F59" t="inlineStr">
        <is>
          <t>설치 지원</t>
        </is>
      </c>
      <c r="G59" s="3" t="n">
        <v>3</v>
      </c>
      <c r="H59" s="4" t="n">
        <v>800000</v>
      </c>
      <c r="I59" s="4" t="n">
        <v>2400000</v>
      </c>
      <c r="J59" t="inlineStr">
        <is>
          <t>이서연</t>
        </is>
      </c>
      <c r="K59" t="inlineStr">
        <is>
          <t>취소</t>
        </is>
      </c>
      <c r="L59" s="3" t="n">
        <v>2</v>
      </c>
    </row>
    <row r="60">
      <c r="A60" t="inlineStr">
        <is>
          <t>ORD-2026-0059</t>
        </is>
      </c>
      <c r="B60" s="2" t="n">
        <v>46077</v>
      </c>
      <c r="C60" t="inlineStr">
        <is>
          <t>나래시스템</t>
        </is>
      </c>
      <c r="D60" t="inlineStr">
        <is>
          <t>서울</t>
        </is>
      </c>
      <c r="E60" t="inlineStr">
        <is>
          <t>부품</t>
        </is>
      </c>
      <c r="F60" t="inlineStr">
        <is>
          <t>베어링 세트</t>
        </is>
      </c>
      <c r="G60" s="3" t="n">
        <v>34</v>
      </c>
      <c r="H60" s="4" t="n">
        <v>45000</v>
      </c>
      <c r="I60" s="4" t="n">
        <v>1530000</v>
      </c>
      <c r="J60" t="inlineStr">
        <is>
          <t>이서연</t>
        </is>
      </c>
      <c r="K60" t="inlineStr">
        <is>
          <t>완료</t>
        </is>
      </c>
      <c r="L60" s="3" t="n">
        <v>2</v>
      </c>
    </row>
    <row r="61">
      <c r="A61" t="inlineStr">
        <is>
          <t>ORD-2026-0060</t>
        </is>
      </c>
      <c r="B61" s="2" t="n">
        <v>46077</v>
      </c>
      <c r="C61" t="inlineStr">
        <is>
          <t>삼일기계</t>
        </is>
      </c>
      <c r="D61" t="inlineStr">
        <is>
          <t>대구</t>
        </is>
      </c>
      <c r="E61" t="inlineStr">
        <is>
          <t>모듈</t>
        </is>
      </c>
      <c r="F61" t="inlineStr">
        <is>
          <t>통신 모듈 TM-5</t>
        </is>
      </c>
      <c r="G61" s="3" t="n">
        <v>9</v>
      </c>
      <c r="H61" s="4" t="n">
        <v>290000</v>
      </c>
      <c r="I61" s="4" t="n">
        <v>2610000</v>
      </c>
      <c r="J61" t="inlineStr">
        <is>
          <t>정우진</t>
        </is>
      </c>
      <c r="K61" t="inlineStr">
        <is>
          <t>대기</t>
        </is>
      </c>
      <c r="L61" s="3" t="n">
        <v>2</v>
      </c>
    </row>
    <row r="62">
      <c r="A62" t="inlineStr">
        <is>
          <t>ORD-2026-0061</t>
        </is>
      </c>
      <c r="B62" s="2" t="n">
        <v>46078</v>
      </c>
      <c r="C62" t="inlineStr">
        <is>
          <t>청운상사</t>
        </is>
      </c>
      <c r="D62" t="inlineStr">
        <is>
          <t>부산</t>
        </is>
      </c>
      <c r="E62" t="inlineStr">
        <is>
          <t>소모품</t>
        </is>
      </c>
      <c r="F62" t="inlineStr">
        <is>
          <t>윤활유 20L</t>
        </is>
      </c>
      <c r="G62" s="3" t="n">
        <v>148</v>
      </c>
      <c r="H62" s="4" t="n">
        <v>38000</v>
      </c>
      <c r="I62" s="4" t="n">
        <v>5624000</v>
      </c>
      <c r="J62" t="inlineStr">
        <is>
          <t>박지훈</t>
        </is>
      </c>
      <c r="K62" t="inlineStr">
        <is>
          <t>완료</t>
        </is>
      </c>
      <c r="L62" s="3" t="n">
        <v>2</v>
      </c>
    </row>
    <row r="63">
      <c r="A63" t="inlineStr">
        <is>
          <t>ORD-2026-0062</t>
        </is>
      </c>
      <c r="B63" s="2" t="n">
        <v>46079</v>
      </c>
      <c r="C63" t="inlineStr">
        <is>
          <t>가온테크</t>
        </is>
      </c>
      <c r="D63" t="inlineStr">
        <is>
          <t>서울</t>
        </is>
      </c>
      <c r="E63" t="inlineStr">
        <is>
          <t>소모품</t>
        </is>
      </c>
      <c r="F63" t="inlineStr">
        <is>
          <t>절연 테이프(50개)</t>
        </is>
      </c>
      <c r="G63" s="3" t="n">
        <v>195</v>
      </c>
      <c r="H63" s="4" t="n">
        <v>15000</v>
      </c>
      <c r="I63" s="4" t="n">
        <v>2925000</v>
      </c>
      <c r="J63" t="inlineStr">
        <is>
          <t>정우진</t>
        </is>
      </c>
      <c r="K63" t="inlineStr">
        <is>
          <t>완료</t>
        </is>
      </c>
      <c r="L63" s="3" t="n">
        <v>2</v>
      </c>
    </row>
    <row r="64">
      <c r="A64" t="inlineStr">
        <is>
          <t>ORD-2026-0063</t>
        </is>
      </c>
      <c r="B64" s="2" t="n">
        <v>46080</v>
      </c>
      <c r="C64" t="inlineStr">
        <is>
          <t>명진화학</t>
        </is>
      </c>
      <c r="D64" t="inlineStr">
        <is>
          <t>울산</t>
        </is>
      </c>
      <c r="E64" t="inlineStr">
        <is>
          <t>소모품</t>
        </is>
      </c>
      <c r="F64" t="inlineStr">
        <is>
          <t>필터 카트리지</t>
        </is>
      </c>
      <c r="G64" s="3" t="n">
        <v>132</v>
      </c>
      <c r="H64" s="4" t="n">
        <v>22000</v>
      </c>
      <c r="I64" s="4" t="n">
        <v>2904000</v>
      </c>
      <c r="J64" t="inlineStr">
        <is>
          <t>이서연</t>
        </is>
      </c>
      <c r="K64" t="inlineStr">
        <is>
          <t>취소</t>
        </is>
      </c>
      <c r="L64" s="3" t="n">
        <v>2</v>
      </c>
    </row>
    <row r="65">
      <c r="A65" t="inlineStr">
        <is>
          <t>ORD-2026-0064</t>
        </is>
      </c>
      <c r="B65" s="2" t="n">
        <v>46080</v>
      </c>
      <c r="C65" t="inlineStr">
        <is>
          <t>제일산업</t>
        </is>
      </c>
      <c r="D65" t="inlineStr">
        <is>
          <t>대전</t>
        </is>
      </c>
      <c r="E65" t="inlineStr">
        <is>
          <t>부품</t>
        </is>
      </c>
      <c r="F65" t="inlineStr">
        <is>
          <t>베어링 세트</t>
        </is>
      </c>
      <c r="G65" s="3" t="n">
        <v>42</v>
      </c>
      <c r="H65" s="4" t="n">
        <v>45000</v>
      </c>
      <c r="I65" s="4" t="n">
        <v>1890000</v>
      </c>
      <c r="J65" t="inlineStr">
        <is>
          <t>박지훈</t>
        </is>
      </c>
      <c r="K65" t="inlineStr">
        <is>
          <t>완료</t>
        </is>
      </c>
      <c r="L65" s="3" t="n">
        <v>2</v>
      </c>
    </row>
    <row r="66">
      <c r="A66" t="inlineStr">
        <is>
          <t>ORD-2026-0065</t>
        </is>
      </c>
      <c r="B66" s="2" t="n">
        <v>46080</v>
      </c>
      <c r="C66" t="inlineStr">
        <is>
          <t>동양정밀</t>
        </is>
      </c>
      <c r="D66" t="inlineStr">
        <is>
          <t>인천</t>
        </is>
      </c>
      <c r="E66" t="inlineStr">
        <is>
          <t>소모품</t>
        </is>
      </c>
      <c r="F66" t="inlineStr">
        <is>
          <t>필터 카트리지</t>
        </is>
      </c>
      <c r="G66" s="3" t="n">
        <v>143</v>
      </c>
      <c r="H66" s="4" t="n">
        <v>22000</v>
      </c>
      <c r="I66" s="4" t="n">
        <v>3146000</v>
      </c>
      <c r="J66" t="inlineStr">
        <is>
          <t>박지훈</t>
        </is>
      </c>
      <c r="K66" t="inlineStr">
        <is>
          <t>완료</t>
        </is>
      </c>
      <c r="L66" s="3" t="n">
        <v>2</v>
      </c>
    </row>
    <row r="67">
      <c r="A67" t="inlineStr">
        <is>
          <t>ORD-2026-0066</t>
        </is>
      </c>
      <c r="B67" s="2" t="n">
        <v>46081</v>
      </c>
      <c r="C67" t="inlineStr">
        <is>
          <t>나래시스템</t>
        </is>
      </c>
      <c r="D67" t="inlineStr">
        <is>
          <t>서울</t>
        </is>
      </c>
      <c r="E67" t="inlineStr">
        <is>
          <t>소모품</t>
        </is>
      </c>
      <c r="F67" t="inlineStr">
        <is>
          <t>절연 테이프(50개)</t>
        </is>
      </c>
      <c r="G67" s="3" t="n">
        <v>108</v>
      </c>
      <c r="H67" s="4" t="n">
        <v>15000</v>
      </c>
      <c r="I67" s="4" t="n">
        <v>1620000</v>
      </c>
      <c r="J67" t="inlineStr">
        <is>
          <t>이서연</t>
        </is>
      </c>
      <c r="K67" t="inlineStr">
        <is>
          <t>완료</t>
        </is>
      </c>
      <c r="L67" s="3" t="n">
        <v>2</v>
      </c>
    </row>
    <row r="68">
      <c r="A68" t="inlineStr">
        <is>
          <t>ORD-2026-0067</t>
        </is>
      </c>
      <c r="B68" s="2" t="n">
        <v>46082</v>
      </c>
      <c r="C68" t="inlineStr">
        <is>
          <t>나래시스템</t>
        </is>
      </c>
      <c r="D68" t="inlineStr">
        <is>
          <t>서울</t>
        </is>
      </c>
      <c r="E68" t="inlineStr">
        <is>
          <t>소모품</t>
        </is>
      </c>
      <c r="F68" t="inlineStr">
        <is>
          <t>절연 테이프(50개)</t>
        </is>
      </c>
      <c r="G68" s="3" t="n">
        <v>99</v>
      </c>
      <c r="H68" s="4" t="n">
        <v>15000</v>
      </c>
      <c r="I68" s="4" t="n">
        <v>1485000</v>
      </c>
      <c r="J68" t="inlineStr">
        <is>
          <t>박지훈</t>
        </is>
      </c>
      <c r="K68" t="inlineStr">
        <is>
          <t>대기</t>
        </is>
      </c>
      <c r="L68" s="3" t="n">
        <v>3</v>
      </c>
    </row>
    <row r="69">
      <c r="A69" t="inlineStr">
        <is>
          <t>ORD-2026-0068</t>
        </is>
      </c>
      <c r="B69" s="2" t="n">
        <v>46082</v>
      </c>
      <c r="C69" t="inlineStr">
        <is>
          <t>백두정공</t>
        </is>
      </c>
      <c r="D69" t="inlineStr">
        <is>
          <t>대구</t>
        </is>
      </c>
      <c r="E69" t="inlineStr">
        <is>
          <t>부품</t>
        </is>
      </c>
      <c r="F69" t="inlineStr">
        <is>
          <t>기어 어셈블리</t>
        </is>
      </c>
      <c r="G69" s="3" t="n">
        <v>38</v>
      </c>
      <c r="H69" s="4" t="n">
        <v>120000</v>
      </c>
      <c r="I69" s="4" t="n">
        <v>4560000</v>
      </c>
      <c r="J69" t="inlineStr">
        <is>
          <t>김민준</t>
        </is>
      </c>
      <c r="K69" t="inlineStr">
        <is>
          <t>완료</t>
        </is>
      </c>
      <c r="L69" s="3" t="n">
        <v>3</v>
      </c>
    </row>
    <row r="70">
      <c r="A70" t="inlineStr">
        <is>
          <t>ORD-2026-0069</t>
        </is>
      </c>
      <c r="B70" s="2" t="n">
        <v>46082</v>
      </c>
      <c r="C70" t="inlineStr">
        <is>
          <t>동양정밀</t>
        </is>
      </c>
      <c r="D70" t="inlineStr">
        <is>
          <t>인천</t>
        </is>
      </c>
      <c r="E70" t="inlineStr">
        <is>
          <t>부품</t>
        </is>
      </c>
      <c r="F70" t="inlineStr">
        <is>
          <t>기어 어셈블리</t>
        </is>
      </c>
      <c r="G70" s="3" t="n">
        <v>62</v>
      </c>
      <c r="H70" s="4" t="n">
        <v>120000</v>
      </c>
      <c r="I70" s="4" t="n">
        <v>7440000</v>
      </c>
      <c r="J70" t="inlineStr">
        <is>
          <t>김민준</t>
        </is>
      </c>
      <c r="K70" t="inlineStr">
        <is>
          <t>완료</t>
        </is>
      </c>
      <c r="L70" s="3" t="n">
        <v>3</v>
      </c>
    </row>
    <row r="71">
      <c r="A71" t="inlineStr">
        <is>
          <t>ORD-2026-0070</t>
        </is>
      </c>
      <c r="B71" s="2" t="n">
        <v>46082</v>
      </c>
      <c r="C71" t="inlineStr">
        <is>
          <t>태양금속</t>
        </is>
      </c>
      <c r="D71" t="inlineStr">
        <is>
          <t>부산</t>
        </is>
      </c>
      <c r="E71" t="inlineStr">
        <is>
          <t>부품</t>
        </is>
      </c>
      <c r="F71" t="inlineStr">
        <is>
          <t>기어 어셈블리</t>
        </is>
      </c>
      <c r="G71" s="3" t="n">
        <v>62</v>
      </c>
      <c r="H71" s="4" t="n">
        <v>120000</v>
      </c>
      <c r="I71" s="4" t="n">
        <v>7440000</v>
      </c>
      <c r="J71" t="inlineStr">
        <is>
          <t>정우진</t>
        </is>
      </c>
      <c r="K71" t="inlineStr">
        <is>
          <t>완료</t>
        </is>
      </c>
      <c r="L71" s="3" t="n">
        <v>3</v>
      </c>
    </row>
    <row r="72">
      <c r="A72" t="inlineStr">
        <is>
          <t>ORD-2026-0071</t>
        </is>
      </c>
      <c r="B72" s="2" t="n">
        <v>46082</v>
      </c>
      <c r="C72" t="inlineStr">
        <is>
          <t>제일산업</t>
        </is>
      </c>
      <c r="D72" t="inlineStr">
        <is>
          <t>대전</t>
        </is>
      </c>
      <c r="E72" t="inlineStr">
        <is>
          <t>모듈</t>
        </is>
      </c>
      <c r="F72" t="inlineStr">
        <is>
          <t>제어 모듈 CM-100</t>
        </is>
      </c>
      <c r="G72" s="3" t="n">
        <v>8</v>
      </c>
      <c r="H72" s="4" t="n">
        <v>650000</v>
      </c>
      <c r="I72" s="4" t="n">
        <v>5200000</v>
      </c>
      <c r="J72" t="inlineStr">
        <is>
          <t>박지훈</t>
        </is>
      </c>
      <c r="K72" t="inlineStr">
        <is>
          <t>대기</t>
        </is>
      </c>
      <c r="L72" s="3" t="n">
        <v>3</v>
      </c>
    </row>
    <row r="73">
      <c r="A73" t="inlineStr">
        <is>
          <t>ORD-2026-0072</t>
        </is>
      </c>
      <c r="B73" s="2" t="n">
        <v>46082</v>
      </c>
      <c r="C73" t="inlineStr">
        <is>
          <t>백두정공</t>
        </is>
      </c>
      <c r="D73" t="inlineStr">
        <is>
          <t>대구</t>
        </is>
      </c>
      <c r="E73" t="inlineStr">
        <is>
          <t>소모품</t>
        </is>
      </c>
      <c r="F73" t="inlineStr">
        <is>
          <t>윤활유 20L</t>
        </is>
      </c>
      <c r="G73" s="3" t="n">
        <v>187</v>
      </c>
      <c r="H73" s="4" t="n">
        <v>38000</v>
      </c>
      <c r="I73" s="4" t="n">
        <v>7106000</v>
      </c>
      <c r="J73" t="inlineStr">
        <is>
          <t>이서연</t>
        </is>
      </c>
      <c r="K73" t="inlineStr">
        <is>
          <t>완료</t>
        </is>
      </c>
      <c r="L73" s="3" t="n">
        <v>3</v>
      </c>
    </row>
    <row r="74">
      <c r="A74" t="inlineStr">
        <is>
          <t>ORD-2026-0073</t>
        </is>
      </c>
      <c r="B74" s="2" t="n">
        <v>46082</v>
      </c>
      <c r="C74" t="inlineStr">
        <is>
          <t>삼일기계</t>
        </is>
      </c>
      <c r="D74" t="inlineStr">
        <is>
          <t>대구</t>
        </is>
      </c>
      <c r="E74" t="inlineStr">
        <is>
          <t>서비스</t>
        </is>
      </c>
      <c r="F74" t="inlineStr">
        <is>
          <t>기술 교육(1일)</t>
        </is>
      </c>
      <c r="G74" s="3" t="n">
        <v>1</v>
      </c>
      <c r="H74" s="4" t="n">
        <v>1200000</v>
      </c>
      <c r="I74" s="4" t="n">
        <v>1200000</v>
      </c>
      <c r="J74" t="inlineStr">
        <is>
          <t>박지훈</t>
        </is>
      </c>
      <c r="K74" t="inlineStr">
        <is>
          <t>완료</t>
        </is>
      </c>
      <c r="L74" s="3" t="n">
        <v>3</v>
      </c>
    </row>
    <row r="75">
      <c r="A75" t="inlineStr">
        <is>
          <t>ORD-2026-0074</t>
        </is>
      </c>
      <c r="B75" s="2" t="n">
        <v>46084</v>
      </c>
      <c r="C75" t="inlineStr">
        <is>
          <t>미래테크</t>
        </is>
      </c>
      <c r="D75" t="inlineStr">
        <is>
          <t>서울</t>
        </is>
      </c>
      <c r="E75" t="inlineStr">
        <is>
          <t>부품</t>
        </is>
      </c>
      <c r="F75" t="inlineStr">
        <is>
          <t>베어링 세트</t>
        </is>
      </c>
      <c r="G75" s="3" t="n">
        <v>58</v>
      </c>
      <c r="H75" s="4" t="n">
        <v>45000</v>
      </c>
      <c r="I75" s="4" t="n">
        <v>2610000</v>
      </c>
      <c r="J75" t="inlineStr">
        <is>
          <t>이서연</t>
        </is>
      </c>
      <c r="K75" t="inlineStr">
        <is>
          <t>완료</t>
        </is>
      </c>
      <c r="L75" s="3" t="n">
        <v>3</v>
      </c>
    </row>
    <row r="76">
      <c r="A76" t="inlineStr">
        <is>
          <t>ORD-2026-0075</t>
        </is>
      </c>
      <c r="B76" s="2" t="n">
        <v>46085</v>
      </c>
      <c r="C76" t="inlineStr">
        <is>
          <t>삼일기계</t>
        </is>
      </c>
      <c r="D76" t="inlineStr">
        <is>
          <t>대구</t>
        </is>
      </c>
      <c r="E76" t="inlineStr">
        <is>
          <t>소모품</t>
        </is>
      </c>
      <c r="F76" t="inlineStr">
        <is>
          <t>필터 카트리지</t>
        </is>
      </c>
      <c r="G76" s="3" t="n">
        <v>105</v>
      </c>
      <c r="H76" s="4" t="n">
        <v>22000</v>
      </c>
      <c r="I76" s="4" t="n">
        <v>2310000</v>
      </c>
      <c r="J76" t="inlineStr">
        <is>
          <t>최수아</t>
        </is>
      </c>
      <c r="K76" t="inlineStr">
        <is>
          <t>완료</t>
        </is>
      </c>
      <c r="L76" s="3" t="n">
        <v>3</v>
      </c>
    </row>
    <row r="77">
      <c r="A77" t="inlineStr">
        <is>
          <t>ORD-2026-0076</t>
        </is>
      </c>
      <c r="B77" s="2" t="n">
        <v>46085</v>
      </c>
      <c r="C77" t="inlineStr">
        <is>
          <t>제일산업</t>
        </is>
      </c>
      <c r="D77" t="inlineStr">
        <is>
          <t>대전</t>
        </is>
      </c>
      <c r="E77" t="inlineStr">
        <is>
          <t>소모품</t>
        </is>
      </c>
      <c r="F77" t="inlineStr">
        <is>
          <t>필터 카트리지</t>
        </is>
      </c>
      <c r="G77" s="3" t="n">
        <v>28</v>
      </c>
      <c r="H77" s="4" t="n">
        <v>22000</v>
      </c>
      <c r="I77" s="4" t="n">
        <v>616000</v>
      </c>
      <c r="J77" t="inlineStr">
        <is>
          <t>박지훈</t>
        </is>
      </c>
      <c r="K77" t="inlineStr">
        <is>
          <t>완료</t>
        </is>
      </c>
      <c r="L77" s="3" t="n">
        <v>3</v>
      </c>
    </row>
    <row r="78">
      <c r="A78" t="inlineStr">
        <is>
          <t>ORD-2026-0077</t>
        </is>
      </c>
      <c r="B78" s="2" t="n">
        <v>46085</v>
      </c>
      <c r="C78" t="inlineStr">
        <is>
          <t>한결소재</t>
        </is>
      </c>
      <c r="D78" t="inlineStr">
        <is>
          <t>경기</t>
        </is>
      </c>
      <c r="E78" t="inlineStr">
        <is>
          <t>모듈</t>
        </is>
      </c>
      <c r="F78" t="inlineStr">
        <is>
          <t>전원 모듈 PM-20</t>
        </is>
      </c>
      <c r="G78" s="3" t="n">
        <v>11</v>
      </c>
      <c r="H78" s="4" t="n">
        <v>380000</v>
      </c>
      <c r="I78" s="4" t="n">
        <v>4180000</v>
      </c>
      <c r="J78" t="inlineStr">
        <is>
          <t>이서연</t>
        </is>
      </c>
      <c r="K78" t="inlineStr">
        <is>
          <t>취소</t>
        </is>
      </c>
      <c r="L78" s="3" t="n">
        <v>3</v>
      </c>
    </row>
    <row r="79">
      <c r="A79" t="inlineStr">
        <is>
          <t>ORD-2026-0078</t>
        </is>
      </c>
      <c r="B79" s="2" t="n">
        <v>46086</v>
      </c>
      <c r="C79" t="inlineStr">
        <is>
          <t>명진화학</t>
        </is>
      </c>
      <c r="D79" t="inlineStr">
        <is>
          <t>울산</t>
        </is>
      </c>
      <c r="E79" t="inlineStr">
        <is>
          <t>소모품</t>
        </is>
      </c>
      <c r="F79" t="inlineStr">
        <is>
          <t>절연 테이프(50개)</t>
        </is>
      </c>
      <c r="G79" s="3" t="n">
        <v>34</v>
      </c>
      <c r="H79" s="4" t="n">
        <v>15000</v>
      </c>
      <c r="I79" s="4" t="n">
        <v>510000</v>
      </c>
      <c r="J79" t="inlineStr">
        <is>
          <t>정우진</t>
        </is>
      </c>
      <c r="K79" t="inlineStr">
        <is>
          <t>완료</t>
        </is>
      </c>
      <c r="L79" s="3" t="n">
        <v>3</v>
      </c>
    </row>
    <row r="80">
      <c r="A80" t="inlineStr">
        <is>
          <t>ORD-2026-0079</t>
        </is>
      </c>
      <c r="B80" s="2" t="n">
        <v>46087</v>
      </c>
      <c r="C80" t="inlineStr">
        <is>
          <t>백두정공</t>
        </is>
      </c>
      <c r="D80" t="inlineStr">
        <is>
          <t>대구</t>
        </is>
      </c>
      <c r="E80" t="inlineStr">
        <is>
          <t>서비스</t>
        </is>
      </c>
      <c r="F80" t="inlineStr">
        <is>
          <t>설치 지원</t>
        </is>
      </c>
      <c r="G80" s="3" t="n">
        <v>1</v>
      </c>
      <c r="H80" s="4" t="n">
        <v>800000</v>
      </c>
      <c r="I80" s="4" t="n">
        <v>800000</v>
      </c>
      <c r="J80" t="inlineStr">
        <is>
          <t>정우진</t>
        </is>
      </c>
      <c r="K80" t="inlineStr">
        <is>
          <t>완료</t>
        </is>
      </c>
      <c r="L80" s="3" t="n">
        <v>3</v>
      </c>
    </row>
    <row r="81">
      <c r="A81" t="inlineStr">
        <is>
          <t>ORD-2026-0080</t>
        </is>
      </c>
      <c r="B81" s="2" t="n">
        <v>46088</v>
      </c>
      <c r="C81" t="inlineStr">
        <is>
          <t>푸른자동화</t>
        </is>
      </c>
      <c r="D81" t="inlineStr">
        <is>
          <t>광주</t>
        </is>
      </c>
      <c r="E81" t="inlineStr">
        <is>
          <t>부품</t>
        </is>
      </c>
      <c r="F81" t="inlineStr">
        <is>
          <t>센서 모듈 S1</t>
        </is>
      </c>
      <c r="G81" s="3" t="n">
        <v>68</v>
      </c>
      <c r="H81" s="4" t="n">
        <v>85000</v>
      </c>
      <c r="I81" s="4" t="n">
        <v>5780000</v>
      </c>
      <c r="J81" t="inlineStr">
        <is>
          <t>이서연</t>
        </is>
      </c>
      <c r="K81" t="inlineStr">
        <is>
          <t>취소</t>
        </is>
      </c>
      <c r="L81" s="3" t="n">
        <v>3</v>
      </c>
    </row>
    <row r="82">
      <c r="A82" t="inlineStr">
        <is>
          <t>ORD-2026-0081</t>
        </is>
      </c>
      <c r="B82" s="2" t="n">
        <v>46088</v>
      </c>
      <c r="C82" t="inlineStr">
        <is>
          <t>명진화학</t>
        </is>
      </c>
      <c r="D82" t="inlineStr">
        <is>
          <t>울산</t>
        </is>
      </c>
      <c r="E82" t="inlineStr">
        <is>
          <t>서비스</t>
        </is>
      </c>
      <c r="F82" t="inlineStr">
        <is>
          <t>기술 교육(1일)</t>
        </is>
      </c>
      <c r="G82" s="3" t="n">
        <v>1</v>
      </c>
      <c r="H82" s="4" t="n">
        <v>1200000</v>
      </c>
      <c r="I82" s="4" t="n">
        <v>1200000</v>
      </c>
      <c r="J82" t="inlineStr">
        <is>
          <t>최수아</t>
        </is>
      </c>
      <c r="K82" t="inlineStr">
        <is>
          <t>완료</t>
        </is>
      </c>
      <c r="L82" s="3" t="n">
        <v>3</v>
      </c>
    </row>
    <row r="83">
      <c r="A83" t="inlineStr">
        <is>
          <t>ORD-2026-0082</t>
        </is>
      </c>
      <c r="B83" s="2" t="n">
        <v>46088</v>
      </c>
      <c r="C83" t="inlineStr">
        <is>
          <t>한빛전자</t>
        </is>
      </c>
      <c r="D83" t="inlineStr">
        <is>
          <t>서울</t>
        </is>
      </c>
      <c r="E83" t="inlineStr">
        <is>
          <t>모듈</t>
        </is>
      </c>
      <c r="F83" t="inlineStr">
        <is>
          <t>제어 모듈 CM-100</t>
        </is>
      </c>
      <c r="G83" s="3" t="n">
        <v>10</v>
      </c>
      <c r="H83" s="4" t="n">
        <v>650000</v>
      </c>
      <c r="I83" s="4" t="n">
        <v>6500000</v>
      </c>
      <c r="J83" t="inlineStr">
        <is>
          <t>이서연</t>
        </is>
      </c>
      <c r="K83" t="inlineStr">
        <is>
          <t>완료</t>
        </is>
      </c>
      <c r="L83" s="3" t="n">
        <v>3</v>
      </c>
    </row>
    <row r="84">
      <c r="A84" t="inlineStr">
        <is>
          <t>ORD-2026-0083</t>
        </is>
      </c>
      <c r="B84" s="2" t="n">
        <v>46089</v>
      </c>
      <c r="C84" t="inlineStr">
        <is>
          <t>삼일기계</t>
        </is>
      </c>
      <c r="D84" t="inlineStr">
        <is>
          <t>대구</t>
        </is>
      </c>
      <c r="E84" t="inlineStr">
        <is>
          <t>부품</t>
        </is>
      </c>
      <c r="F84" t="inlineStr">
        <is>
          <t>기어 어셈블리</t>
        </is>
      </c>
      <c r="G84" s="3" t="n">
        <v>31</v>
      </c>
      <c r="H84" s="4" t="n">
        <v>120000</v>
      </c>
      <c r="I84" s="4" t="n">
        <v>3720000</v>
      </c>
      <c r="J84" t="inlineStr">
        <is>
          <t>박지훈</t>
        </is>
      </c>
      <c r="K84" t="inlineStr">
        <is>
          <t>완료</t>
        </is>
      </c>
      <c r="L84" s="3" t="n">
        <v>3</v>
      </c>
    </row>
    <row r="85">
      <c r="A85" t="inlineStr">
        <is>
          <t>ORD-2026-0084</t>
        </is>
      </c>
      <c r="B85" s="2" t="n">
        <v>46090</v>
      </c>
      <c r="C85" t="inlineStr">
        <is>
          <t>삼일기계</t>
        </is>
      </c>
      <c r="D85" t="inlineStr">
        <is>
          <t>대구</t>
        </is>
      </c>
      <c r="E85" t="inlineStr">
        <is>
          <t>소모품</t>
        </is>
      </c>
      <c r="F85" t="inlineStr">
        <is>
          <t>필터 카트리지</t>
        </is>
      </c>
      <c r="G85" s="3" t="n">
        <v>101</v>
      </c>
      <c r="H85" s="4" t="n">
        <v>22000</v>
      </c>
      <c r="I85" s="4" t="n">
        <v>2222000</v>
      </c>
      <c r="J85" t="inlineStr">
        <is>
          <t>정우진</t>
        </is>
      </c>
      <c r="K85" t="inlineStr">
        <is>
          <t>완료</t>
        </is>
      </c>
      <c r="L85" s="3" t="n">
        <v>3</v>
      </c>
    </row>
    <row r="86">
      <c r="A86" t="inlineStr">
        <is>
          <t>ORD-2026-0085</t>
        </is>
      </c>
      <c r="B86" s="2" t="n">
        <v>46090</v>
      </c>
      <c r="C86" t="inlineStr">
        <is>
          <t>세진통상</t>
        </is>
      </c>
      <c r="D86" t="inlineStr">
        <is>
          <t>경기</t>
        </is>
      </c>
      <c r="E86" t="inlineStr">
        <is>
          <t>모듈</t>
        </is>
      </c>
      <c r="F86" t="inlineStr">
        <is>
          <t>전원 모듈 PM-20</t>
        </is>
      </c>
      <c r="G86" s="3" t="n">
        <v>7</v>
      </c>
      <c r="H86" s="4" t="n">
        <v>380000</v>
      </c>
      <c r="I86" s="4" t="n">
        <v>2660000</v>
      </c>
      <c r="J86" t="inlineStr">
        <is>
          <t>박지훈</t>
        </is>
      </c>
      <c r="K86" t="inlineStr">
        <is>
          <t>완료</t>
        </is>
      </c>
      <c r="L86" s="3" t="n">
        <v>3</v>
      </c>
    </row>
    <row r="87">
      <c r="A87" t="inlineStr">
        <is>
          <t>ORD-2026-0086</t>
        </is>
      </c>
      <c r="B87" s="2" t="n">
        <v>46091</v>
      </c>
      <c r="C87" t="inlineStr">
        <is>
          <t>두리물류</t>
        </is>
      </c>
      <c r="D87" t="inlineStr">
        <is>
          <t>경기</t>
        </is>
      </c>
      <c r="E87" t="inlineStr">
        <is>
          <t>부품</t>
        </is>
      </c>
      <c r="F87" t="inlineStr">
        <is>
          <t>베어링 세트</t>
        </is>
      </c>
      <c r="G87" s="3" t="n">
        <v>21</v>
      </c>
      <c r="H87" s="4" t="n">
        <v>45000</v>
      </c>
      <c r="I87" s="4" t="n">
        <v>945000</v>
      </c>
      <c r="J87" t="inlineStr">
        <is>
          <t>이서연</t>
        </is>
      </c>
      <c r="K87" t="inlineStr">
        <is>
          <t>완료</t>
        </is>
      </c>
      <c r="L87" s="3" t="n">
        <v>3</v>
      </c>
    </row>
    <row r="88">
      <c r="A88" t="inlineStr">
        <is>
          <t>ORD-2026-0087</t>
        </is>
      </c>
      <c r="B88" s="2" t="n">
        <v>46092</v>
      </c>
      <c r="C88" t="inlineStr">
        <is>
          <t>제일산업</t>
        </is>
      </c>
      <c r="D88" t="inlineStr">
        <is>
          <t>대전</t>
        </is>
      </c>
      <c r="E88" t="inlineStr">
        <is>
          <t>소모품</t>
        </is>
      </c>
      <c r="F88" t="inlineStr">
        <is>
          <t>윤활유 20L</t>
        </is>
      </c>
      <c r="G88" s="3" t="n">
        <v>80</v>
      </c>
      <c r="H88" s="4" t="n">
        <v>38000</v>
      </c>
      <c r="I88" s="4" t="n">
        <v>3040000</v>
      </c>
      <c r="J88" t="inlineStr">
        <is>
          <t>최수아</t>
        </is>
      </c>
      <c r="K88" t="inlineStr">
        <is>
          <t>대기</t>
        </is>
      </c>
      <c r="L88" s="3" t="n">
        <v>3</v>
      </c>
    </row>
    <row r="89">
      <c r="A89" t="inlineStr">
        <is>
          <t>ORD-2026-0088</t>
        </is>
      </c>
      <c r="B89" s="2" t="n">
        <v>46093</v>
      </c>
      <c r="C89" t="inlineStr">
        <is>
          <t>가온테크</t>
        </is>
      </c>
      <c r="D89" t="inlineStr">
        <is>
          <t>서울</t>
        </is>
      </c>
      <c r="E89" t="inlineStr">
        <is>
          <t>부품</t>
        </is>
      </c>
      <c r="F89" t="inlineStr">
        <is>
          <t>기어 어셈블리</t>
        </is>
      </c>
      <c r="G89" s="3" t="n">
        <v>54</v>
      </c>
      <c r="H89" s="4" t="n">
        <v>120000</v>
      </c>
      <c r="I89" s="4" t="n">
        <v>6480000</v>
      </c>
      <c r="J89" t="inlineStr">
        <is>
          <t>이서연</t>
        </is>
      </c>
      <c r="K89" t="inlineStr">
        <is>
          <t>완료</t>
        </is>
      </c>
      <c r="L89" s="3" t="n">
        <v>3</v>
      </c>
    </row>
    <row r="90">
      <c r="A90" t="inlineStr">
        <is>
          <t>ORD-2026-0089</t>
        </is>
      </c>
      <c r="B90" s="2" t="n">
        <v>46093</v>
      </c>
      <c r="C90" t="inlineStr">
        <is>
          <t>동양정밀</t>
        </is>
      </c>
      <c r="D90" t="inlineStr">
        <is>
          <t>인천</t>
        </is>
      </c>
      <c r="E90" t="inlineStr">
        <is>
          <t>서비스</t>
        </is>
      </c>
      <c r="F90" t="inlineStr">
        <is>
          <t>정기 점검</t>
        </is>
      </c>
      <c r="G90" s="3" t="n">
        <v>2</v>
      </c>
      <c r="H90" s="4" t="n">
        <v>500000</v>
      </c>
      <c r="I90" s="4" t="n">
        <v>1000000</v>
      </c>
      <c r="J90" t="inlineStr">
        <is>
          <t>최수아</t>
        </is>
      </c>
      <c r="K90" t="inlineStr">
        <is>
          <t>완료</t>
        </is>
      </c>
      <c r="L90" s="3" t="n">
        <v>3</v>
      </c>
    </row>
    <row r="91">
      <c r="A91" t="inlineStr">
        <is>
          <t>ORD-2026-0090</t>
        </is>
      </c>
      <c r="B91" s="2" t="n">
        <v>46093</v>
      </c>
      <c r="C91" t="inlineStr">
        <is>
          <t>제일산업</t>
        </is>
      </c>
      <c r="D91" t="inlineStr">
        <is>
          <t>대전</t>
        </is>
      </c>
      <c r="E91" t="inlineStr">
        <is>
          <t>모듈</t>
        </is>
      </c>
      <c r="F91" t="inlineStr">
        <is>
          <t>전원 모듈 PM-20</t>
        </is>
      </c>
      <c r="G91" s="3" t="n">
        <v>8</v>
      </c>
      <c r="H91" s="4" t="n">
        <v>380000</v>
      </c>
      <c r="I91" s="4" t="n">
        <v>3040000</v>
      </c>
      <c r="J91" t="inlineStr">
        <is>
          <t>이서연</t>
        </is>
      </c>
      <c r="K91" t="inlineStr">
        <is>
          <t>완료</t>
        </is>
      </c>
      <c r="L91" s="3" t="n">
        <v>3</v>
      </c>
    </row>
    <row r="92">
      <c r="A92" t="inlineStr">
        <is>
          <t>ORD-2026-0091</t>
        </is>
      </c>
      <c r="B92" s="2" t="n">
        <v>46097</v>
      </c>
      <c r="C92" t="inlineStr">
        <is>
          <t>제일산업</t>
        </is>
      </c>
      <c r="D92" t="inlineStr">
        <is>
          <t>대전</t>
        </is>
      </c>
      <c r="E92" t="inlineStr">
        <is>
          <t>소모품</t>
        </is>
      </c>
      <c r="F92" t="inlineStr">
        <is>
          <t>필터 카트리지</t>
        </is>
      </c>
      <c r="G92" s="3" t="n">
        <v>21</v>
      </c>
      <c r="H92" s="4" t="n">
        <v>22000</v>
      </c>
      <c r="I92" s="4" t="n">
        <v>462000</v>
      </c>
      <c r="J92" t="inlineStr">
        <is>
          <t>정우진</t>
        </is>
      </c>
      <c r="K92" t="inlineStr">
        <is>
          <t>완료</t>
        </is>
      </c>
      <c r="L92" s="3" t="n">
        <v>3</v>
      </c>
    </row>
    <row r="93">
      <c r="A93" t="inlineStr">
        <is>
          <t>ORD-2026-0092</t>
        </is>
      </c>
      <c r="B93" s="2" t="n">
        <v>46097</v>
      </c>
      <c r="C93" t="inlineStr">
        <is>
          <t>삼일기계</t>
        </is>
      </c>
      <c r="D93" t="inlineStr">
        <is>
          <t>대구</t>
        </is>
      </c>
      <c r="E93" t="inlineStr">
        <is>
          <t>모듈</t>
        </is>
      </c>
      <c r="F93" t="inlineStr">
        <is>
          <t>제어 모듈 CM-100</t>
        </is>
      </c>
      <c r="G93" s="3" t="n">
        <v>1</v>
      </c>
      <c r="H93" s="4" t="n">
        <v>650000</v>
      </c>
      <c r="I93" s="4" t="n">
        <v>650000</v>
      </c>
      <c r="J93" t="inlineStr">
        <is>
          <t>정우진</t>
        </is>
      </c>
      <c r="K93" t="inlineStr">
        <is>
          <t>완료</t>
        </is>
      </c>
      <c r="L93" s="3" t="n">
        <v>3</v>
      </c>
    </row>
    <row r="94">
      <c r="A94" t="inlineStr">
        <is>
          <t>ORD-2026-0093</t>
        </is>
      </c>
      <c r="B94" s="2" t="n">
        <v>46099</v>
      </c>
      <c r="C94" t="inlineStr">
        <is>
          <t>그린에너지</t>
        </is>
      </c>
      <c r="D94" t="inlineStr">
        <is>
          <t>광주</t>
        </is>
      </c>
      <c r="E94" t="inlineStr">
        <is>
          <t>소모품</t>
        </is>
      </c>
      <c r="F94" t="inlineStr">
        <is>
          <t>필터 카트리지</t>
        </is>
      </c>
      <c r="G94" s="3" t="n">
        <v>72</v>
      </c>
      <c r="H94" s="4" t="n">
        <v>22000</v>
      </c>
      <c r="I94" s="4" t="n">
        <v>1584000</v>
      </c>
      <c r="J94" t="inlineStr">
        <is>
          <t>정우진</t>
        </is>
      </c>
      <c r="K94" t="inlineStr">
        <is>
          <t>대기</t>
        </is>
      </c>
      <c r="L94" s="3" t="n">
        <v>3</v>
      </c>
    </row>
    <row r="95">
      <c r="A95" t="inlineStr">
        <is>
          <t>ORD-2026-0094</t>
        </is>
      </c>
      <c r="B95" s="2" t="n">
        <v>46099</v>
      </c>
      <c r="C95" t="inlineStr">
        <is>
          <t>나래시스템</t>
        </is>
      </c>
      <c r="D95" t="inlineStr">
        <is>
          <t>서울</t>
        </is>
      </c>
      <c r="E95" t="inlineStr">
        <is>
          <t>모듈</t>
        </is>
      </c>
      <c r="F95" t="inlineStr">
        <is>
          <t>제어 모듈 CM-100</t>
        </is>
      </c>
      <c r="G95" s="3" t="n">
        <v>1</v>
      </c>
      <c r="H95" s="4" t="n">
        <v>650000</v>
      </c>
      <c r="I95" s="4" t="n">
        <v>650000</v>
      </c>
      <c r="J95" t="inlineStr">
        <is>
          <t>김민준</t>
        </is>
      </c>
      <c r="K95" t="inlineStr">
        <is>
          <t>완료</t>
        </is>
      </c>
      <c r="L95" s="3" t="n">
        <v>3</v>
      </c>
    </row>
    <row r="96">
      <c r="A96" t="inlineStr">
        <is>
          <t>ORD-2026-0095</t>
        </is>
      </c>
      <c r="B96" s="2" t="n">
        <v>46099</v>
      </c>
      <c r="C96" t="inlineStr">
        <is>
          <t>나래시스템</t>
        </is>
      </c>
      <c r="D96" t="inlineStr">
        <is>
          <t>서울</t>
        </is>
      </c>
      <c r="E96" t="inlineStr">
        <is>
          <t>소모품</t>
        </is>
      </c>
      <c r="F96" t="inlineStr">
        <is>
          <t>윤활유 20L</t>
        </is>
      </c>
      <c r="G96" s="3" t="n">
        <v>78</v>
      </c>
      <c r="H96" s="4" t="n">
        <v>38000</v>
      </c>
      <c r="I96" s="4" t="n">
        <v>2964000</v>
      </c>
      <c r="J96" t="inlineStr">
        <is>
          <t>정우진</t>
        </is>
      </c>
      <c r="K96" t="inlineStr">
        <is>
          <t>완료</t>
        </is>
      </c>
      <c r="L96" s="3" t="n">
        <v>3</v>
      </c>
    </row>
    <row r="97">
      <c r="A97" t="inlineStr">
        <is>
          <t>ORD-2026-0096</t>
        </is>
      </c>
      <c r="B97" s="2" t="n">
        <v>46100</v>
      </c>
      <c r="C97" t="inlineStr">
        <is>
          <t>제일산업</t>
        </is>
      </c>
      <c r="D97" t="inlineStr">
        <is>
          <t>대전</t>
        </is>
      </c>
      <c r="E97" t="inlineStr">
        <is>
          <t>부품</t>
        </is>
      </c>
      <c r="F97" t="inlineStr">
        <is>
          <t>기어 어셈블리</t>
        </is>
      </c>
      <c r="G97" s="3" t="n">
        <v>8</v>
      </c>
      <c r="H97" s="4" t="n">
        <v>120000</v>
      </c>
      <c r="I97" s="4" t="n">
        <v>960000</v>
      </c>
      <c r="J97" t="inlineStr">
        <is>
          <t>김민준</t>
        </is>
      </c>
      <c r="K97" t="inlineStr">
        <is>
          <t>완료</t>
        </is>
      </c>
      <c r="L97" s="3" t="n">
        <v>3</v>
      </c>
    </row>
    <row r="98">
      <c r="A98" t="inlineStr">
        <is>
          <t>ORD-2026-0097</t>
        </is>
      </c>
      <c r="B98" s="2" t="n">
        <v>46100</v>
      </c>
      <c r="C98" t="inlineStr">
        <is>
          <t>한빛전자</t>
        </is>
      </c>
      <c r="D98" t="inlineStr">
        <is>
          <t>서울</t>
        </is>
      </c>
      <c r="E98" t="inlineStr">
        <is>
          <t>소모품</t>
        </is>
      </c>
      <c r="F98" t="inlineStr">
        <is>
          <t>윤활유 20L</t>
        </is>
      </c>
      <c r="G98" s="3" t="n">
        <v>66</v>
      </c>
      <c r="H98" s="4" t="n">
        <v>38000</v>
      </c>
      <c r="I98" s="4" t="n">
        <v>2508000</v>
      </c>
      <c r="J98" t="inlineStr">
        <is>
          <t>박지훈</t>
        </is>
      </c>
      <c r="K98" t="inlineStr">
        <is>
          <t>완료</t>
        </is>
      </c>
      <c r="L98" s="3" t="n">
        <v>3</v>
      </c>
    </row>
    <row r="99">
      <c r="A99" t="inlineStr">
        <is>
          <t>ORD-2026-0098</t>
        </is>
      </c>
      <c r="B99" s="2" t="n">
        <v>46100</v>
      </c>
      <c r="C99" t="inlineStr">
        <is>
          <t>삼일기계</t>
        </is>
      </c>
      <c r="D99" t="inlineStr">
        <is>
          <t>대구</t>
        </is>
      </c>
      <c r="E99" t="inlineStr">
        <is>
          <t>서비스</t>
        </is>
      </c>
      <c r="F99" t="inlineStr">
        <is>
          <t>설치 지원</t>
        </is>
      </c>
      <c r="G99" s="3" t="n">
        <v>1</v>
      </c>
      <c r="H99" s="4" t="n">
        <v>800000</v>
      </c>
      <c r="I99" s="4" t="n">
        <v>800000</v>
      </c>
      <c r="J99" t="inlineStr">
        <is>
          <t>박지훈</t>
        </is>
      </c>
      <c r="K99" t="inlineStr">
        <is>
          <t>완료</t>
        </is>
      </c>
      <c r="L99" s="3" t="n">
        <v>3</v>
      </c>
    </row>
    <row r="100">
      <c r="A100" t="inlineStr">
        <is>
          <t>ORD-2026-0099</t>
        </is>
      </c>
      <c r="B100" s="2" t="n">
        <v>46104</v>
      </c>
      <c r="C100" t="inlineStr">
        <is>
          <t>나래시스템</t>
        </is>
      </c>
      <c r="D100" t="inlineStr">
        <is>
          <t>서울</t>
        </is>
      </c>
      <c r="E100" t="inlineStr">
        <is>
          <t>부품</t>
        </is>
      </c>
      <c r="F100" t="inlineStr">
        <is>
          <t>기어 어셈블리</t>
        </is>
      </c>
      <c r="G100" s="3" t="n">
        <v>26</v>
      </c>
      <c r="H100" s="4" t="n">
        <v>120000</v>
      </c>
      <c r="I100" s="4" t="n">
        <v>3120000</v>
      </c>
      <c r="J100" t="inlineStr">
        <is>
          <t>정우진</t>
        </is>
      </c>
      <c r="K100" t="inlineStr">
        <is>
          <t>완료</t>
        </is>
      </c>
      <c r="L100" s="3" t="n">
        <v>3</v>
      </c>
    </row>
    <row r="101">
      <c r="A101" t="inlineStr">
        <is>
          <t>ORD-2026-0100</t>
        </is>
      </c>
      <c r="B101" s="2" t="n">
        <v>46104</v>
      </c>
      <c r="C101" t="inlineStr">
        <is>
          <t>백두정공</t>
        </is>
      </c>
      <c r="D101" t="inlineStr">
        <is>
          <t>대구</t>
        </is>
      </c>
      <c r="E101" t="inlineStr">
        <is>
          <t>모듈</t>
        </is>
      </c>
      <c r="F101" t="inlineStr">
        <is>
          <t>통신 모듈 TM-5</t>
        </is>
      </c>
      <c r="G101" s="3" t="n">
        <v>5</v>
      </c>
      <c r="H101" s="4" t="n">
        <v>290000</v>
      </c>
      <c r="I101" s="4" t="n">
        <v>1450000</v>
      </c>
      <c r="J101" t="inlineStr">
        <is>
          <t>이서연</t>
        </is>
      </c>
      <c r="K101" t="inlineStr">
        <is>
          <t>완료</t>
        </is>
      </c>
      <c r="L101" s="3" t="n">
        <v>3</v>
      </c>
    </row>
    <row r="102">
      <c r="A102" t="inlineStr">
        <is>
          <t>ORD-2026-0101</t>
        </is>
      </c>
      <c r="B102" s="2" t="n">
        <v>46104</v>
      </c>
      <c r="C102" t="inlineStr">
        <is>
          <t>한빛전자</t>
        </is>
      </c>
      <c r="D102" t="inlineStr">
        <is>
          <t>서울</t>
        </is>
      </c>
      <c r="E102" t="inlineStr">
        <is>
          <t>모듈</t>
        </is>
      </c>
      <c r="F102" t="inlineStr">
        <is>
          <t>전원 모듈 PM-20</t>
        </is>
      </c>
      <c r="G102" s="3" t="n">
        <v>8</v>
      </c>
      <c r="H102" s="4" t="n">
        <v>380000</v>
      </c>
      <c r="I102" s="4" t="n">
        <v>3040000</v>
      </c>
      <c r="J102" t="inlineStr">
        <is>
          <t>최수아</t>
        </is>
      </c>
      <c r="K102" t="inlineStr">
        <is>
          <t>완료</t>
        </is>
      </c>
      <c r="L102" s="3" t="n">
        <v>3</v>
      </c>
    </row>
    <row r="103">
      <c r="A103" t="inlineStr">
        <is>
          <t>ORD-2026-0102</t>
        </is>
      </c>
      <c r="B103" s="2" t="n">
        <v>46105</v>
      </c>
      <c r="C103" t="inlineStr">
        <is>
          <t>한빛전자</t>
        </is>
      </c>
      <c r="D103" t="inlineStr">
        <is>
          <t>서울</t>
        </is>
      </c>
      <c r="E103" t="inlineStr">
        <is>
          <t>부품</t>
        </is>
      </c>
      <c r="F103" t="inlineStr">
        <is>
          <t>센서 모듈 S1</t>
        </is>
      </c>
      <c r="G103" s="3" t="n">
        <v>68</v>
      </c>
      <c r="H103" s="4" t="n">
        <v>85000</v>
      </c>
      <c r="I103" s="4" t="n">
        <v>5780000</v>
      </c>
      <c r="J103" t="inlineStr">
        <is>
          <t>박지훈</t>
        </is>
      </c>
      <c r="K103" t="inlineStr">
        <is>
          <t>대기</t>
        </is>
      </c>
      <c r="L103" s="3" t="n">
        <v>3</v>
      </c>
    </row>
    <row r="104">
      <c r="A104" t="inlineStr">
        <is>
          <t>ORD-2026-0103</t>
        </is>
      </c>
      <c r="B104" s="2" t="n">
        <v>46105</v>
      </c>
      <c r="C104" t="inlineStr">
        <is>
          <t>나래시스템</t>
        </is>
      </c>
      <c r="D104" t="inlineStr">
        <is>
          <t>서울</t>
        </is>
      </c>
      <c r="E104" t="inlineStr">
        <is>
          <t>모듈</t>
        </is>
      </c>
      <c r="F104" t="inlineStr">
        <is>
          <t>전원 모듈 PM-20</t>
        </is>
      </c>
      <c r="G104" s="3" t="n">
        <v>2</v>
      </c>
      <c r="H104" s="4" t="n">
        <v>380000</v>
      </c>
      <c r="I104" s="4" t="n">
        <v>760000</v>
      </c>
      <c r="J104" t="inlineStr">
        <is>
          <t>최수아</t>
        </is>
      </c>
      <c r="K104" t="inlineStr">
        <is>
          <t>완료</t>
        </is>
      </c>
      <c r="L104" s="3" t="n">
        <v>3</v>
      </c>
    </row>
    <row r="105">
      <c r="A105" t="inlineStr">
        <is>
          <t>ORD-2026-0104</t>
        </is>
      </c>
      <c r="B105" s="2" t="n">
        <v>46105</v>
      </c>
      <c r="C105" t="inlineStr">
        <is>
          <t>제일산업</t>
        </is>
      </c>
      <c r="D105" t="inlineStr">
        <is>
          <t>대전</t>
        </is>
      </c>
      <c r="E105" t="inlineStr">
        <is>
          <t>소모품</t>
        </is>
      </c>
      <c r="F105" t="inlineStr">
        <is>
          <t>절연 테이프(50개)</t>
        </is>
      </c>
      <c r="G105" s="3" t="n">
        <v>41</v>
      </c>
      <c r="H105" s="4" t="n">
        <v>15000</v>
      </c>
      <c r="I105" s="4" t="n">
        <v>615000</v>
      </c>
      <c r="J105" t="inlineStr">
        <is>
          <t>김민준</t>
        </is>
      </c>
      <c r="K105" t="inlineStr">
        <is>
          <t>완료</t>
        </is>
      </c>
      <c r="L105" s="3" t="n">
        <v>3</v>
      </c>
    </row>
    <row r="106">
      <c r="A106" t="inlineStr">
        <is>
          <t>ORD-2026-0105</t>
        </is>
      </c>
      <c r="B106" s="2" t="n">
        <v>46105</v>
      </c>
      <c r="C106" t="inlineStr">
        <is>
          <t>가온테크</t>
        </is>
      </c>
      <c r="D106" t="inlineStr">
        <is>
          <t>서울</t>
        </is>
      </c>
      <c r="E106" t="inlineStr">
        <is>
          <t>모듈</t>
        </is>
      </c>
      <c r="F106" t="inlineStr">
        <is>
          <t>제어 모듈 CM-100</t>
        </is>
      </c>
      <c r="G106" s="3" t="n">
        <v>1</v>
      </c>
      <c r="H106" s="4" t="n">
        <v>650000</v>
      </c>
      <c r="I106" s="4" t="n">
        <v>650000</v>
      </c>
      <c r="J106" t="inlineStr">
        <is>
          <t>이서연</t>
        </is>
      </c>
      <c r="K106" t="inlineStr">
        <is>
          <t>완료</t>
        </is>
      </c>
      <c r="L106" s="3" t="n">
        <v>3</v>
      </c>
    </row>
    <row r="107">
      <c r="A107" t="inlineStr">
        <is>
          <t>ORD-2026-0106</t>
        </is>
      </c>
      <c r="B107" s="2" t="n">
        <v>46106</v>
      </c>
      <c r="C107" t="inlineStr">
        <is>
          <t>신영유통</t>
        </is>
      </c>
      <c r="D107" t="inlineStr">
        <is>
          <t>인천</t>
        </is>
      </c>
      <c r="E107" t="inlineStr">
        <is>
          <t>모듈</t>
        </is>
      </c>
      <c r="F107" t="inlineStr">
        <is>
          <t>전원 모듈 PM-20</t>
        </is>
      </c>
      <c r="G107" s="3" t="n">
        <v>6</v>
      </c>
      <c r="H107" s="4" t="n">
        <v>380000</v>
      </c>
      <c r="I107" s="4" t="n">
        <v>2280000</v>
      </c>
      <c r="J107" t="inlineStr">
        <is>
          <t>김민준</t>
        </is>
      </c>
      <c r="K107" t="inlineStr">
        <is>
          <t>취소</t>
        </is>
      </c>
      <c r="L107" s="3" t="n">
        <v>3</v>
      </c>
    </row>
    <row r="108">
      <c r="A108" t="inlineStr">
        <is>
          <t>ORD-2026-0107</t>
        </is>
      </c>
      <c r="B108" s="2" t="n">
        <v>46106</v>
      </c>
      <c r="C108" t="inlineStr">
        <is>
          <t>한빛전자</t>
        </is>
      </c>
      <c r="D108" t="inlineStr">
        <is>
          <t>서울</t>
        </is>
      </c>
      <c r="E108" t="inlineStr">
        <is>
          <t>부품</t>
        </is>
      </c>
      <c r="F108" t="inlineStr">
        <is>
          <t>기어 어셈블리</t>
        </is>
      </c>
      <c r="G108" s="3" t="n">
        <v>17</v>
      </c>
      <c r="H108" s="4" t="n">
        <v>120000</v>
      </c>
      <c r="I108" s="4" t="n">
        <v>2040000</v>
      </c>
      <c r="J108" t="inlineStr">
        <is>
          <t>최수아</t>
        </is>
      </c>
      <c r="K108" t="inlineStr">
        <is>
          <t>대기</t>
        </is>
      </c>
      <c r="L108" s="3" t="n">
        <v>3</v>
      </c>
    </row>
    <row r="109">
      <c r="A109" t="inlineStr">
        <is>
          <t>ORD-2026-0108</t>
        </is>
      </c>
      <c r="B109" s="2" t="n">
        <v>46107</v>
      </c>
      <c r="C109" t="inlineStr">
        <is>
          <t>동양정밀</t>
        </is>
      </c>
      <c r="D109" t="inlineStr">
        <is>
          <t>인천</t>
        </is>
      </c>
      <c r="E109" t="inlineStr">
        <is>
          <t>소모품</t>
        </is>
      </c>
      <c r="F109" t="inlineStr">
        <is>
          <t>필터 카트리지</t>
        </is>
      </c>
      <c r="G109" s="3" t="n">
        <v>137</v>
      </c>
      <c r="H109" s="4" t="n">
        <v>22000</v>
      </c>
      <c r="I109" s="4" t="n">
        <v>3014000</v>
      </c>
      <c r="J109" t="inlineStr">
        <is>
          <t>최수아</t>
        </is>
      </c>
      <c r="K109" t="inlineStr">
        <is>
          <t>완료</t>
        </is>
      </c>
      <c r="L109" s="3" t="n">
        <v>3</v>
      </c>
    </row>
    <row r="110">
      <c r="A110" t="inlineStr">
        <is>
          <t>ORD-2026-0109</t>
        </is>
      </c>
      <c r="B110" s="2" t="n">
        <v>46108</v>
      </c>
      <c r="C110" t="inlineStr">
        <is>
          <t>제일산업</t>
        </is>
      </c>
      <c r="D110" t="inlineStr">
        <is>
          <t>대전</t>
        </is>
      </c>
      <c r="E110" t="inlineStr">
        <is>
          <t>모듈</t>
        </is>
      </c>
      <c r="F110" t="inlineStr">
        <is>
          <t>통신 모듈 TM-5</t>
        </is>
      </c>
      <c r="G110" s="3" t="n">
        <v>9</v>
      </c>
      <c r="H110" s="4" t="n">
        <v>290000</v>
      </c>
      <c r="I110" s="4" t="n">
        <v>2610000</v>
      </c>
      <c r="J110" t="inlineStr">
        <is>
          <t>김민준</t>
        </is>
      </c>
      <c r="K110" t="inlineStr">
        <is>
          <t>대기</t>
        </is>
      </c>
      <c r="L110" s="3" t="n">
        <v>3</v>
      </c>
    </row>
    <row r="111">
      <c r="A111" t="inlineStr">
        <is>
          <t>ORD-2026-0110</t>
        </is>
      </c>
      <c r="B111" s="2" t="n">
        <v>46108</v>
      </c>
      <c r="C111" t="inlineStr">
        <is>
          <t>동양정밀</t>
        </is>
      </c>
      <c r="D111" t="inlineStr">
        <is>
          <t>인천</t>
        </is>
      </c>
      <c r="E111" t="inlineStr">
        <is>
          <t>모듈</t>
        </is>
      </c>
      <c r="F111" t="inlineStr">
        <is>
          <t>통신 모듈 TM-5</t>
        </is>
      </c>
      <c r="G111" s="3" t="n">
        <v>3</v>
      </c>
      <c r="H111" s="4" t="n">
        <v>290000</v>
      </c>
      <c r="I111" s="4" t="n">
        <v>870000</v>
      </c>
      <c r="J111" t="inlineStr">
        <is>
          <t>이서연</t>
        </is>
      </c>
      <c r="K111" t="inlineStr">
        <is>
          <t>완료</t>
        </is>
      </c>
      <c r="L111" s="3" t="n">
        <v>3</v>
      </c>
    </row>
    <row r="112">
      <c r="A112" t="inlineStr">
        <is>
          <t>ORD-2026-0111</t>
        </is>
      </c>
      <c r="B112" s="2" t="n">
        <v>46108</v>
      </c>
      <c r="C112" t="inlineStr">
        <is>
          <t>동양정밀</t>
        </is>
      </c>
      <c r="D112" t="inlineStr">
        <is>
          <t>인천</t>
        </is>
      </c>
      <c r="E112" t="inlineStr">
        <is>
          <t>서비스</t>
        </is>
      </c>
      <c r="F112" t="inlineStr">
        <is>
          <t>정기 점검</t>
        </is>
      </c>
      <c r="G112" s="3" t="n">
        <v>2</v>
      </c>
      <c r="H112" s="4" t="n">
        <v>500000</v>
      </c>
      <c r="I112" s="4" t="n">
        <v>1000000</v>
      </c>
      <c r="J112" t="inlineStr">
        <is>
          <t>김민준</t>
        </is>
      </c>
      <c r="K112" t="inlineStr">
        <is>
          <t>완료</t>
        </is>
      </c>
      <c r="L112" s="3" t="n">
        <v>3</v>
      </c>
    </row>
    <row r="113">
      <c r="A113" t="inlineStr">
        <is>
          <t>ORD-2026-0112</t>
        </is>
      </c>
      <c r="B113" s="2" t="n">
        <v>46109</v>
      </c>
      <c r="C113" t="inlineStr">
        <is>
          <t>세진통상</t>
        </is>
      </c>
      <c r="D113" t="inlineStr">
        <is>
          <t>경기</t>
        </is>
      </c>
      <c r="E113" t="inlineStr">
        <is>
          <t>모듈</t>
        </is>
      </c>
      <c r="F113" t="inlineStr">
        <is>
          <t>제어 모듈 CM-100</t>
        </is>
      </c>
      <c r="G113" s="3" t="n">
        <v>12</v>
      </c>
      <c r="H113" s="4" t="n">
        <v>650000</v>
      </c>
      <c r="I113" s="4" t="n">
        <v>7800000</v>
      </c>
      <c r="J113" t="inlineStr">
        <is>
          <t>이서연</t>
        </is>
      </c>
      <c r="K113" t="inlineStr">
        <is>
          <t>취소</t>
        </is>
      </c>
      <c r="L113" s="3" t="n">
        <v>3</v>
      </c>
    </row>
    <row r="114">
      <c r="A114" t="inlineStr">
        <is>
          <t>ORD-2026-0113</t>
        </is>
      </c>
      <c r="B114" s="2" t="n">
        <v>46112</v>
      </c>
      <c r="C114" t="inlineStr">
        <is>
          <t>명진화학</t>
        </is>
      </c>
      <c r="D114" t="inlineStr">
        <is>
          <t>울산</t>
        </is>
      </c>
      <c r="E114" t="inlineStr">
        <is>
          <t>부품</t>
        </is>
      </c>
      <c r="F114" t="inlineStr">
        <is>
          <t>베어링 세트</t>
        </is>
      </c>
      <c r="G114" s="3" t="n">
        <v>24</v>
      </c>
      <c r="H114" s="4" t="n">
        <v>45000</v>
      </c>
      <c r="I114" s="4" t="n">
        <v>1080000</v>
      </c>
      <c r="J114" t="inlineStr">
        <is>
          <t>정우진</t>
        </is>
      </c>
      <c r="K114" t="inlineStr">
        <is>
          <t>완료</t>
        </is>
      </c>
      <c r="L114" s="3" t="n">
        <v>3</v>
      </c>
    </row>
    <row r="115">
      <c r="A115" t="inlineStr">
        <is>
          <t>ORD-2026-0114</t>
        </is>
      </c>
      <c r="B115" s="2" t="n">
        <v>46112</v>
      </c>
      <c r="C115" t="inlineStr">
        <is>
          <t>삼일기계</t>
        </is>
      </c>
      <c r="D115" t="inlineStr">
        <is>
          <t>대구</t>
        </is>
      </c>
      <c r="E115" t="inlineStr">
        <is>
          <t>모듈</t>
        </is>
      </c>
      <c r="F115" t="inlineStr">
        <is>
          <t>제어 모듈 CM-100</t>
        </is>
      </c>
      <c r="G115" s="3" t="n">
        <v>12</v>
      </c>
      <c r="H115" s="4" t="n">
        <v>650000</v>
      </c>
      <c r="I115" s="4" t="n">
        <v>7800000</v>
      </c>
      <c r="J115" t="inlineStr">
        <is>
          <t>이서연</t>
        </is>
      </c>
      <c r="K115" t="inlineStr">
        <is>
          <t>취소</t>
        </is>
      </c>
      <c r="L115" s="3" t="n">
        <v>3</v>
      </c>
    </row>
    <row r="116">
      <c r="A116" t="inlineStr">
        <is>
          <t>ORD-2026-0115</t>
        </is>
      </c>
      <c r="B116" s="2" t="n">
        <v>46113</v>
      </c>
      <c r="C116" t="inlineStr">
        <is>
          <t>삼일기계</t>
        </is>
      </c>
      <c r="D116" t="inlineStr">
        <is>
          <t>대구</t>
        </is>
      </c>
      <c r="E116" t="inlineStr">
        <is>
          <t>부품</t>
        </is>
      </c>
      <c r="F116" t="inlineStr">
        <is>
          <t>베어링 세트</t>
        </is>
      </c>
      <c r="G116" s="3" t="n">
        <v>47</v>
      </c>
      <c r="H116" s="4" t="n">
        <v>45000</v>
      </c>
      <c r="I116" s="4" t="n">
        <v>2115000</v>
      </c>
      <c r="J116" t="inlineStr">
        <is>
          <t>최수아</t>
        </is>
      </c>
      <c r="K116" t="inlineStr">
        <is>
          <t>대기</t>
        </is>
      </c>
      <c r="L116" s="3" t="n">
        <v>4</v>
      </c>
    </row>
    <row r="117">
      <c r="A117" t="inlineStr">
        <is>
          <t>ORD-2026-0116</t>
        </is>
      </c>
      <c r="B117" s="2" t="n">
        <v>46113</v>
      </c>
      <c r="C117" t="inlineStr">
        <is>
          <t>대성물산</t>
        </is>
      </c>
      <c r="D117" t="inlineStr">
        <is>
          <t>경기</t>
        </is>
      </c>
      <c r="E117" t="inlineStr">
        <is>
          <t>서비스</t>
        </is>
      </c>
      <c r="F117" t="inlineStr">
        <is>
          <t>기술 교육(1일)</t>
        </is>
      </c>
      <c r="G117" s="3" t="n">
        <v>1</v>
      </c>
      <c r="H117" s="4" t="n">
        <v>1200000</v>
      </c>
      <c r="I117" s="4" t="n">
        <v>1200000</v>
      </c>
      <c r="J117" t="inlineStr">
        <is>
          <t>박지훈</t>
        </is>
      </c>
      <c r="K117" t="inlineStr">
        <is>
          <t>완료</t>
        </is>
      </c>
      <c r="L117" s="3" t="n">
        <v>4</v>
      </c>
    </row>
    <row r="118">
      <c r="A118" t="inlineStr">
        <is>
          <t>ORD-2026-0117</t>
        </is>
      </c>
      <c r="B118" s="2" t="n">
        <v>46113</v>
      </c>
      <c r="C118" t="inlineStr">
        <is>
          <t>한빛전자</t>
        </is>
      </c>
      <c r="D118" t="inlineStr">
        <is>
          <t>서울</t>
        </is>
      </c>
      <c r="E118" t="inlineStr">
        <is>
          <t>모듈</t>
        </is>
      </c>
      <c r="F118" t="inlineStr">
        <is>
          <t>통신 모듈 TM-5</t>
        </is>
      </c>
      <c r="G118" s="3" t="n">
        <v>7</v>
      </c>
      <c r="H118" s="4" t="n">
        <v>290000</v>
      </c>
      <c r="I118" s="4" t="n">
        <v>2030000</v>
      </c>
      <c r="J118" t="inlineStr">
        <is>
          <t>김민준</t>
        </is>
      </c>
      <c r="K118" t="inlineStr">
        <is>
          <t>완료</t>
        </is>
      </c>
      <c r="L118" s="3" t="n">
        <v>4</v>
      </c>
    </row>
    <row r="119">
      <c r="A119" t="inlineStr">
        <is>
          <t>ORD-2026-0118</t>
        </is>
      </c>
      <c r="B119" s="2" t="n">
        <v>46116</v>
      </c>
      <c r="C119" t="inlineStr">
        <is>
          <t>가온테크</t>
        </is>
      </c>
      <c r="D119" t="inlineStr">
        <is>
          <t>서울</t>
        </is>
      </c>
      <c r="E119" t="inlineStr">
        <is>
          <t>서비스</t>
        </is>
      </c>
      <c r="F119" t="inlineStr">
        <is>
          <t>기술 교육(1일)</t>
        </is>
      </c>
      <c r="G119" s="3" t="n">
        <v>2</v>
      </c>
      <c r="H119" s="4" t="n">
        <v>1200000</v>
      </c>
      <c r="I119" s="4" t="n">
        <v>2400000</v>
      </c>
      <c r="J119" t="inlineStr">
        <is>
          <t>정우진</t>
        </is>
      </c>
      <c r="K119" t="inlineStr">
        <is>
          <t>완료</t>
        </is>
      </c>
      <c r="L119" s="3" t="n">
        <v>4</v>
      </c>
    </row>
    <row r="120">
      <c r="A120" t="inlineStr">
        <is>
          <t>ORD-2026-0119</t>
        </is>
      </c>
      <c r="B120" s="2" t="n">
        <v>46117</v>
      </c>
      <c r="C120" t="inlineStr">
        <is>
          <t>동양정밀</t>
        </is>
      </c>
      <c r="D120" t="inlineStr">
        <is>
          <t>인천</t>
        </is>
      </c>
      <c r="E120" t="inlineStr">
        <is>
          <t>서비스</t>
        </is>
      </c>
      <c r="F120" t="inlineStr">
        <is>
          <t>설치 지원</t>
        </is>
      </c>
      <c r="G120" s="3" t="n">
        <v>2</v>
      </c>
      <c r="H120" s="4" t="n">
        <v>800000</v>
      </c>
      <c r="I120" s="4" t="n">
        <v>1600000</v>
      </c>
      <c r="J120" t="inlineStr">
        <is>
          <t>박지훈</t>
        </is>
      </c>
      <c r="K120" t="inlineStr">
        <is>
          <t>완료</t>
        </is>
      </c>
      <c r="L120" s="3" t="n">
        <v>4</v>
      </c>
    </row>
    <row r="121">
      <c r="A121" t="inlineStr">
        <is>
          <t>ORD-2026-0120</t>
        </is>
      </c>
      <c r="B121" s="2" t="n">
        <v>46117</v>
      </c>
      <c r="C121" t="inlineStr">
        <is>
          <t>나래시스템</t>
        </is>
      </c>
      <c r="D121" t="inlineStr">
        <is>
          <t>서울</t>
        </is>
      </c>
      <c r="E121" t="inlineStr">
        <is>
          <t>소모품</t>
        </is>
      </c>
      <c r="F121" t="inlineStr">
        <is>
          <t>절연 테이프(50개)</t>
        </is>
      </c>
      <c r="G121" s="3" t="n">
        <v>24</v>
      </c>
      <c r="H121" s="4" t="n">
        <v>15000</v>
      </c>
      <c r="I121" s="4" t="n">
        <v>360000</v>
      </c>
      <c r="J121" t="inlineStr">
        <is>
          <t>최수아</t>
        </is>
      </c>
      <c r="K121" t="inlineStr">
        <is>
          <t>완료</t>
        </is>
      </c>
      <c r="L121" s="3" t="n">
        <v>4</v>
      </c>
    </row>
    <row r="122">
      <c r="A122" t="inlineStr">
        <is>
          <t>ORD-2026-0121</t>
        </is>
      </c>
      <c r="B122" s="2" t="n">
        <v>46119</v>
      </c>
      <c r="C122" t="inlineStr">
        <is>
          <t>제일산업</t>
        </is>
      </c>
      <c r="D122" t="inlineStr">
        <is>
          <t>대전</t>
        </is>
      </c>
      <c r="E122" t="inlineStr">
        <is>
          <t>서비스</t>
        </is>
      </c>
      <c r="F122" t="inlineStr">
        <is>
          <t>정기 점검</t>
        </is>
      </c>
      <c r="G122" s="3" t="n">
        <v>2</v>
      </c>
      <c r="H122" s="4" t="n">
        <v>500000</v>
      </c>
      <c r="I122" s="4" t="n">
        <v>1000000</v>
      </c>
      <c r="J122" t="inlineStr">
        <is>
          <t>박지훈</t>
        </is>
      </c>
      <c r="K122" t="inlineStr">
        <is>
          <t>완료</t>
        </is>
      </c>
      <c r="L122" s="3" t="n">
        <v>4</v>
      </c>
    </row>
    <row r="123">
      <c r="A123" t="inlineStr">
        <is>
          <t>ORD-2026-0122</t>
        </is>
      </c>
      <c r="B123" s="2" t="n">
        <v>46119</v>
      </c>
      <c r="C123" t="inlineStr">
        <is>
          <t>나래시스템</t>
        </is>
      </c>
      <c r="D123" t="inlineStr">
        <is>
          <t>서울</t>
        </is>
      </c>
      <c r="E123" t="inlineStr">
        <is>
          <t>소모품</t>
        </is>
      </c>
      <c r="F123" t="inlineStr">
        <is>
          <t>윤활유 20L</t>
        </is>
      </c>
      <c r="G123" s="3" t="n">
        <v>112</v>
      </c>
      <c r="H123" s="4" t="n">
        <v>38000</v>
      </c>
      <c r="I123" s="4" t="n">
        <v>4256000</v>
      </c>
      <c r="J123" t="inlineStr">
        <is>
          <t>최수아</t>
        </is>
      </c>
      <c r="K123" t="inlineStr">
        <is>
          <t>완료</t>
        </is>
      </c>
      <c r="L123" s="3" t="n">
        <v>4</v>
      </c>
    </row>
    <row r="124">
      <c r="A124" t="inlineStr">
        <is>
          <t>ORD-2026-0123</t>
        </is>
      </c>
      <c r="B124" s="2" t="n">
        <v>46119</v>
      </c>
      <c r="C124" t="inlineStr">
        <is>
          <t>신영유통</t>
        </is>
      </c>
      <c r="D124" t="inlineStr">
        <is>
          <t>인천</t>
        </is>
      </c>
      <c r="E124" t="inlineStr">
        <is>
          <t>부품</t>
        </is>
      </c>
      <c r="F124" t="inlineStr">
        <is>
          <t>센서 모듈 S1</t>
        </is>
      </c>
      <c r="G124" s="3" t="n">
        <v>55</v>
      </c>
      <c r="H124" s="4" t="n">
        <v>85000</v>
      </c>
      <c r="I124" s="4" t="n">
        <v>4675000</v>
      </c>
      <c r="J124" t="inlineStr">
        <is>
          <t>정우진</t>
        </is>
      </c>
      <c r="K124" t="inlineStr">
        <is>
          <t>대기</t>
        </is>
      </c>
      <c r="L124" s="3" t="n">
        <v>4</v>
      </c>
    </row>
    <row r="125">
      <c r="A125" t="inlineStr">
        <is>
          <t>ORD-2026-0124</t>
        </is>
      </c>
      <c r="B125" s="2" t="n">
        <v>46120</v>
      </c>
      <c r="C125" t="inlineStr">
        <is>
          <t>동양정밀</t>
        </is>
      </c>
      <c r="D125" t="inlineStr">
        <is>
          <t>인천</t>
        </is>
      </c>
      <c r="E125" t="inlineStr">
        <is>
          <t>소모품</t>
        </is>
      </c>
      <c r="F125" t="inlineStr">
        <is>
          <t>윤활유 20L</t>
        </is>
      </c>
      <c r="G125" s="3" t="n">
        <v>10</v>
      </c>
      <c r="H125" s="4" t="n">
        <v>38000</v>
      </c>
      <c r="I125" s="4" t="n">
        <v>380000</v>
      </c>
      <c r="J125" t="inlineStr">
        <is>
          <t>최수아</t>
        </is>
      </c>
      <c r="K125" t="inlineStr">
        <is>
          <t>완료</t>
        </is>
      </c>
      <c r="L125" s="3" t="n">
        <v>4</v>
      </c>
    </row>
    <row r="126">
      <c r="A126" t="inlineStr">
        <is>
          <t>ORD-2026-0125</t>
        </is>
      </c>
      <c r="B126" s="2" t="n">
        <v>46121</v>
      </c>
      <c r="C126" t="inlineStr">
        <is>
          <t>명진화학</t>
        </is>
      </c>
      <c r="D126" t="inlineStr">
        <is>
          <t>울산</t>
        </is>
      </c>
      <c r="E126" t="inlineStr">
        <is>
          <t>모듈</t>
        </is>
      </c>
      <c r="F126" t="inlineStr">
        <is>
          <t>제어 모듈 CM-100</t>
        </is>
      </c>
      <c r="G126" s="3" t="n">
        <v>5</v>
      </c>
      <c r="H126" s="4" t="n">
        <v>650000</v>
      </c>
      <c r="I126" s="4" t="n">
        <v>3250000</v>
      </c>
      <c r="J126" t="inlineStr">
        <is>
          <t>김민준</t>
        </is>
      </c>
      <c r="K126" t="inlineStr">
        <is>
          <t>완료</t>
        </is>
      </c>
      <c r="L126" s="3" t="n">
        <v>4</v>
      </c>
    </row>
    <row r="127">
      <c r="A127" t="inlineStr">
        <is>
          <t>ORD-2026-0126</t>
        </is>
      </c>
      <c r="B127" s="2" t="n">
        <v>46122</v>
      </c>
      <c r="C127" t="inlineStr">
        <is>
          <t>그린에너지</t>
        </is>
      </c>
      <c r="D127" t="inlineStr">
        <is>
          <t>광주</t>
        </is>
      </c>
      <c r="E127" t="inlineStr">
        <is>
          <t>서비스</t>
        </is>
      </c>
      <c r="F127" t="inlineStr">
        <is>
          <t>정기 점검</t>
        </is>
      </c>
      <c r="G127" s="3" t="n">
        <v>2</v>
      </c>
      <c r="H127" s="4" t="n">
        <v>500000</v>
      </c>
      <c r="I127" s="4" t="n">
        <v>1000000</v>
      </c>
      <c r="J127" t="inlineStr">
        <is>
          <t>박지훈</t>
        </is>
      </c>
      <c r="K127" t="inlineStr">
        <is>
          <t>완료</t>
        </is>
      </c>
      <c r="L127" s="3" t="n">
        <v>4</v>
      </c>
    </row>
    <row r="128">
      <c r="A128" t="inlineStr">
        <is>
          <t>ORD-2026-0127</t>
        </is>
      </c>
      <c r="B128" s="2" t="n">
        <v>46124</v>
      </c>
      <c r="C128" t="inlineStr">
        <is>
          <t>태양금속</t>
        </is>
      </c>
      <c r="D128" t="inlineStr">
        <is>
          <t>부산</t>
        </is>
      </c>
      <c r="E128" t="inlineStr">
        <is>
          <t>부품</t>
        </is>
      </c>
      <c r="F128" t="inlineStr">
        <is>
          <t>베어링 세트</t>
        </is>
      </c>
      <c r="G128" s="3" t="n">
        <v>36</v>
      </c>
      <c r="H128" s="4" t="n">
        <v>45000</v>
      </c>
      <c r="I128" s="4" t="n">
        <v>1620000</v>
      </c>
      <c r="J128" t="inlineStr">
        <is>
          <t>박지훈</t>
        </is>
      </c>
      <c r="K128" t="inlineStr">
        <is>
          <t>완료</t>
        </is>
      </c>
      <c r="L128" s="3" t="n">
        <v>4</v>
      </c>
    </row>
    <row r="129">
      <c r="A129" t="inlineStr">
        <is>
          <t>ORD-2026-0128</t>
        </is>
      </c>
      <c r="B129" s="2" t="n">
        <v>46127</v>
      </c>
      <c r="C129" t="inlineStr">
        <is>
          <t>가온테크</t>
        </is>
      </c>
      <c r="D129" t="inlineStr">
        <is>
          <t>서울</t>
        </is>
      </c>
      <c r="E129" t="inlineStr">
        <is>
          <t>모듈</t>
        </is>
      </c>
      <c r="F129" t="inlineStr">
        <is>
          <t>통신 모듈 TM-5</t>
        </is>
      </c>
      <c r="G129" s="3" t="n">
        <v>1</v>
      </c>
      <c r="H129" s="4" t="n">
        <v>290000</v>
      </c>
      <c r="I129" s="4" t="n">
        <v>290000</v>
      </c>
      <c r="J129" t="inlineStr">
        <is>
          <t>최수아</t>
        </is>
      </c>
      <c r="K129" t="inlineStr">
        <is>
          <t>완료</t>
        </is>
      </c>
      <c r="L129" s="3" t="n">
        <v>4</v>
      </c>
    </row>
    <row r="130">
      <c r="A130" t="inlineStr">
        <is>
          <t>ORD-2026-0129</t>
        </is>
      </c>
      <c r="B130" s="2" t="n">
        <v>46127</v>
      </c>
      <c r="C130" t="inlineStr">
        <is>
          <t>한결소재</t>
        </is>
      </c>
      <c r="D130" t="inlineStr">
        <is>
          <t>경기</t>
        </is>
      </c>
      <c r="E130" t="inlineStr">
        <is>
          <t>서비스</t>
        </is>
      </c>
      <c r="F130" t="inlineStr">
        <is>
          <t>설치 지원</t>
        </is>
      </c>
      <c r="G130" s="3" t="n">
        <v>3</v>
      </c>
      <c r="H130" s="4" t="n">
        <v>800000</v>
      </c>
      <c r="I130" s="4" t="n">
        <v>2400000</v>
      </c>
      <c r="J130" t="inlineStr">
        <is>
          <t>박지훈</t>
        </is>
      </c>
      <c r="K130" t="inlineStr">
        <is>
          <t>완료</t>
        </is>
      </c>
      <c r="L130" s="3" t="n">
        <v>4</v>
      </c>
    </row>
    <row r="131">
      <c r="A131" t="inlineStr">
        <is>
          <t>ORD-2026-0130</t>
        </is>
      </c>
      <c r="B131" s="2" t="n">
        <v>46127</v>
      </c>
      <c r="C131" t="inlineStr">
        <is>
          <t>가온테크</t>
        </is>
      </c>
      <c r="D131" t="inlineStr">
        <is>
          <t>서울</t>
        </is>
      </c>
      <c r="E131" t="inlineStr">
        <is>
          <t>모듈</t>
        </is>
      </c>
      <c r="F131" t="inlineStr">
        <is>
          <t>전원 모듈 PM-20</t>
        </is>
      </c>
      <c r="G131" s="3" t="n">
        <v>3</v>
      </c>
      <c r="H131" s="4" t="n">
        <v>380000</v>
      </c>
      <c r="I131" s="4" t="n">
        <v>1140000</v>
      </c>
      <c r="J131" t="inlineStr">
        <is>
          <t>김민준</t>
        </is>
      </c>
      <c r="K131" t="inlineStr">
        <is>
          <t>완료</t>
        </is>
      </c>
      <c r="L131" s="3" t="n">
        <v>4</v>
      </c>
    </row>
    <row r="132">
      <c r="A132" t="inlineStr">
        <is>
          <t>ORD-2026-0131</t>
        </is>
      </c>
      <c r="B132" s="2" t="n">
        <v>46128</v>
      </c>
      <c r="C132" t="inlineStr">
        <is>
          <t>두리물류</t>
        </is>
      </c>
      <c r="D132" t="inlineStr">
        <is>
          <t>경기</t>
        </is>
      </c>
      <c r="E132" t="inlineStr">
        <is>
          <t>소모품</t>
        </is>
      </c>
      <c r="F132" t="inlineStr">
        <is>
          <t>절연 테이프(50개)</t>
        </is>
      </c>
      <c r="G132" s="3" t="n">
        <v>153</v>
      </c>
      <c r="H132" s="4" t="n">
        <v>15000</v>
      </c>
      <c r="I132" s="4" t="n">
        <v>2295000</v>
      </c>
      <c r="J132" t="inlineStr">
        <is>
          <t>최수아</t>
        </is>
      </c>
      <c r="K132" t="inlineStr">
        <is>
          <t>대기</t>
        </is>
      </c>
      <c r="L132" s="3" t="n">
        <v>4</v>
      </c>
    </row>
    <row r="133">
      <c r="A133" t="inlineStr">
        <is>
          <t>ORD-2026-0132</t>
        </is>
      </c>
      <c r="B133" s="2" t="n">
        <v>46128</v>
      </c>
      <c r="C133" t="inlineStr">
        <is>
          <t>가온테크</t>
        </is>
      </c>
      <c r="D133" t="inlineStr">
        <is>
          <t>서울</t>
        </is>
      </c>
      <c r="E133" t="inlineStr">
        <is>
          <t>소모품</t>
        </is>
      </c>
      <c r="F133" t="inlineStr">
        <is>
          <t>윤활유 20L</t>
        </is>
      </c>
      <c r="G133" s="3" t="n">
        <v>199</v>
      </c>
      <c r="H133" s="4" t="n">
        <v>38000</v>
      </c>
      <c r="I133" s="4" t="n">
        <v>7562000</v>
      </c>
      <c r="J133" t="inlineStr">
        <is>
          <t>이서연</t>
        </is>
      </c>
      <c r="K133" t="inlineStr">
        <is>
          <t>완료</t>
        </is>
      </c>
      <c r="L133" s="3" t="n">
        <v>4</v>
      </c>
    </row>
    <row r="134">
      <c r="A134" t="inlineStr">
        <is>
          <t>ORD-2026-0133</t>
        </is>
      </c>
      <c r="B134" s="2" t="n">
        <v>46128</v>
      </c>
      <c r="C134" t="inlineStr">
        <is>
          <t>세진통상</t>
        </is>
      </c>
      <c r="D134" t="inlineStr">
        <is>
          <t>경기</t>
        </is>
      </c>
      <c r="E134" t="inlineStr">
        <is>
          <t>서비스</t>
        </is>
      </c>
      <c r="F134" t="inlineStr">
        <is>
          <t>정기 점검</t>
        </is>
      </c>
      <c r="G134" s="3" t="n">
        <v>1</v>
      </c>
      <c r="H134" s="4" t="n">
        <v>500000</v>
      </c>
      <c r="I134" s="4" t="n">
        <v>500000</v>
      </c>
      <c r="J134" t="inlineStr">
        <is>
          <t>이서연</t>
        </is>
      </c>
      <c r="K134" t="inlineStr">
        <is>
          <t>완료</t>
        </is>
      </c>
      <c r="L134" s="3" t="n">
        <v>4</v>
      </c>
    </row>
    <row r="135">
      <c r="A135" t="inlineStr">
        <is>
          <t>ORD-2026-0134</t>
        </is>
      </c>
      <c r="B135" s="2" t="n">
        <v>46129</v>
      </c>
      <c r="C135" t="inlineStr">
        <is>
          <t>삼일기계</t>
        </is>
      </c>
      <c r="D135" t="inlineStr">
        <is>
          <t>대구</t>
        </is>
      </c>
      <c r="E135" t="inlineStr">
        <is>
          <t>모듈</t>
        </is>
      </c>
      <c r="F135" t="inlineStr">
        <is>
          <t>전원 모듈 PM-20</t>
        </is>
      </c>
      <c r="G135" s="3" t="n">
        <v>9</v>
      </c>
      <c r="H135" s="4" t="n">
        <v>380000</v>
      </c>
      <c r="I135" s="4" t="n">
        <v>3420000</v>
      </c>
      <c r="J135" t="inlineStr">
        <is>
          <t>정우진</t>
        </is>
      </c>
      <c r="K135" t="inlineStr">
        <is>
          <t>완료</t>
        </is>
      </c>
      <c r="L135" s="3" t="n">
        <v>4</v>
      </c>
    </row>
    <row r="136">
      <c r="A136" t="inlineStr">
        <is>
          <t>ORD-2026-0135</t>
        </is>
      </c>
      <c r="B136" s="2" t="n">
        <v>46129</v>
      </c>
      <c r="C136" t="inlineStr">
        <is>
          <t>한빛전자</t>
        </is>
      </c>
      <c r="D136" t="inlineStr">
        <is>
          <t>서울</t>
        </is>
      </c>
      <c r="E136" t="inlineStr">
        <is>
          <t>부품</t>
        </is>
      </c>
      <c r="F136" t="inlineStr">
        <is>
          <t>기어 어셈블리</t>
        </is>
      </c>
      <c r="G136" s="3" t="n">
        <v>28</v>
      </c>
      <c r="H136" s="4" t="n">
        <v>120000</v>
      </c>
      <c r="I136" s="4" t="n">
        <v>3360000</v>
      </c>
      <c r="J136" t="inlineStr">
        <is>
          <t>최수아</t>
        </is>
      </c>
      <c r="K136" t="inlineStr">
        <is>
          <t>완료</t>
        </is>
      </c>
      <c r="L136" s="3" t="n">
        <v>4</v>
      </c>
    </row>
    <row r="137">
      <c r="A137" t="inlineStr">
        <is>
          <t>ORD-2026-0136</t>
        </is>
      </c>
      <c r="B137" s="2" t="n">
        <v>46130</v>
      </c>
      <c r="C137" t="inlineStr">
        <is>
          <t>나래시스템</t>
        </is>
      </c>
      <c r="D137" t="inlineStr">
        <is>
          <t>서울</t>
        </is>
      </c>
      <c r="E137" t="inlineStr">
        <is>
          <t>모듈</t>
        </is>
      </c>
      <c r="F137" t="inlineStr">
        <is>
          <t>통신 모듈 TM-5</t>
        </is>
      </c>
      <c r="G137" s="3" t="n">
        <v>1</v>
      </c>
      <c r="H137" s="4" t="n">
        <v>290000</v>
      </c>
      <c r="I137" s="4" t="n">
        <v>290000</v>
      </c>
      <c r="J137" t="inlineStr">
        <is>
          <t>최수아</t>
        </is>
      </c>
      <c r="K137" t="inlineStr">
        <is>
          <t>완료</t>
        </is>
      </c>
      <c r="L137" s="3" t="n">
        <v>4</v>
      </c>
    </row>
    <row r="138">
      <c r="A138" t="inlineStr">
        <is>
          <t>ORD-2026-0137</t>
        </is>
      </c>
      <c r="B138" s="2" t="n">
        <v>46131</v>
      </c>
      <c r="C138" t="inlineStr">
        <is>
          <t>대성물산</t>
        </is>
      </c>
      <c r="D138" t="inlineStr">
        <is>
          <t>경기</t>
        </is>
      </c>
      <c r="E138" t="inlineStr">
        <is>
          <t>부품</t>
        </is>
      </c>
      <c r="F138" t="inlineStr">
        <is>
          <t>센서 모듈 S1</t>
        </is>
      </c>
      <c r="G138" s="3" t="n">
        <v>59</v>
      </c>
      <c r="H138" s="4" t="n">
        <v>85000</v>
      </c>
      <c r="I138" s="4" t="n">
        <v>5015000</v>
      </c>
      <c r="J138" t="inlineStr">
        <is>
          <t>정우진</t>
        </is>
      </c>
      <c r="K138" t="inlineStr">
        <is>
          <t>완료</t>
        </is>
      </c>
      <c r="L138" s="3" t="n">
        <v>4</v>
      </c>
    </row>
    <row r="139">
      <c r="A139" t="inlineStr">
        <is>
          <t>ORD-2026-0138</t>
        </is>
      </c>
      <c r="B139" s="2" t="n">
        <v>46132</v>
      </c>
      <c r="C139" t="inlineStr">
        <is>
          <t>신영유통</t>
        </is>
      </c>
      <c r="D139" t="inlineStr">
        <is>
          <t>인천</t>
        </is>
      </c>
      <c r="E139" t="inlineStr">
        <is>
          <t>부품</t>
        </is>
      </c>
      <c r="F139" t="inlineStr">
        <is>
          <t>기어 어셈블리</t>
        </is>
      </c>
      <c r="G139" s="3" t="n">
        <v>59</v>
      </c>
      <c r="H139" s="4" t="n">
        <v>120000</v>
      </c>
      <c r="I139" s="4" t="n">
        <v>7080000</v>
      </c>
      <c r="J139" t="inlineStr">
        <is>
          <t>박지훈</t>
        </is>
      </c>
      <c r="K139" t="inlineStr">
        <is>
          <t>완료</t>
        </is>
      </c>
      <c r="L139" s="3" t="n">
        <v>4</v>
      </c>
    </row>
    <row r="140">
      <c r="A140" t="inlineStr">
        <is>
          <t>ORD-2026-0139</t>
        </is>
      </c>
      <c r="B140" s="2" t="n">
        <v>46132</v>
      </c>
      <c r="C140" t="inlineStr">
        <is>
          <t>동양정밀</t>
        </is>
      </c>
      <c r="D140" t="inlineStr">
        <is>
          <t>인천</t>
        </is>
      </c>
      <c r="E140" t="inlineStr">
        <is>
          <t>서비스</t>
        </is>
      </c>
      <c r="F140" t="inlineStr">
        <is>
          <t>정기 점검</t>
        </is>
      </c>
      <c r="G140" s="3" t="n">
        <v>2</v>
      </c>
      <c r="H140" s="4" t="n">
        <v>500000</v>
      </c>
      <c r="I140" s="4" t="n">
        <v>1000000</v>
      </c>
      <c r="J140" t="inlineStr">
        <is>
          <t>이서연</t>
        </is>
      </c>
      <c r="K140" t="inlineStr">
        <is>
          <t>완료</t>
        </is>
      </c>
      <c r="L140" s="3" t="n">
        <v>4</v>
      </c>
    </row>
    <row r="141">
      <c r="A141" t="inlineStr">
        <is>
          <t>ORD-2026-0140</t>
        </is>
      </c>
      <c r="B141" s="2" t="n">
        <v>46134</v>
      </c>
      <c r="C141" t="inlineStr">
        <is>
          <t>신영유통</t>
        </is>
      </c>
      <c r="D141" t="inlineStr">
        <is>
          <t>인천</t>
        </is>
      </c>
      <c r="E141" t="inlineStr">
        <is>
          <t>모듈</t>
        </is>
      </c>
      <c r="F141" t="inlineStr">
        <is>
          <t>통신 모듈 TM-5</t>
        </is>
      </c>
      <c r="G141" s="3" t="n">
        <v>9</v>
      </c>
      <c r="H141" s="4" t="n">
        <v>290000</v>
      </c>
      <c r="I141" s="4" t="n">
        <v>2610000</v>
      </c>
      <c r="J141" t="inlineStr">
        <is>
          <t>박지훈</t>
        </is>
      </c>
      <c r="K141" t="inlineStr">
        <is>
          <t>완료</t>
        </is>
      </c>
      <c r="L141" s="3" t="n">
        <v>4</v>
      </c>
    </row>
    <row r="142">
      <c r="A142" t="inlineStr">
        <is>
          <t>ORD-2026-0141</t>
        </is>
      </c>
      <c r="B142" s="2" t="n">
        <v>46135</v>
      </c>
      <c r="C142" t="inlineStr">
        <is>
          <t>푸른자동화</t>
        </is>
      </c>
      <c r="D142" t="inlineStr">
        <is>
          <t>광주</t>
        </is>
      </c>
      <c r="E142" t="inlineStr">
        <is>
          <t>서비스</t>
        </is>
      </c>
      <c r="F142" t="inlineStr">
        <is>
          <t>정기 점검</t>
        </is>
      </c>
      <c r="G142" s="3" t="n">
        <v>3</v>
      </c>
      <c r="H142" s="4" t="n">
        <v>500000</v>
      </c>
      <c r="I142" s="4" t="n">
        <v>1500000</v>
      </c>
      <c r="J142" t="inlineStr">
        <is>
          <t>정우진</t>
        </is>
      </c>
      <c r="K142" t="inlineStr">
        <is>
          <t>완료</t>
        </is>
      </c>
      <c r="L142" s="3" t="n">
        <v>4</v>
      </c>
    </row>
    <row r="143">
      <c r="A143" t="inlineStr">
        <is>
          <t>ORD-2026-0142</t>
        </is>
      </c>
      <c r="B143" s="2" t="n">
        <v>46135</v>
      </c>
      <c r="C143" t="inlineStr">
        <is>
          <t>나래시스템</t>
        </is>
      </c>
      <c r="D143" t="inlineStr">
        <is>
          <t>서울</t>
        </is>
      </c>
      <c r="E143" t="inlineStr">
        <is>
          <t>부품</t>
        </is>
      </c>
      <c r="F143" t="inlineStr">
        <is>
          <t>베어링 세트</t>
        </is>
      </c>
      <c r="G143" s="3" t="n">
        <v>23</v>
      </c>
      <c r="H143" s="4" t="n">
        <v>45000</v>
      </c>
      <c r="I143" s="4" t="n">
        <v>1035000</v>
      </c>
      <c r="J143" t="inlineStr">
        <is>
          <t>박지훈</t>
        </is>
      </c>
      <c r="K143" t="inlineStr">
        <is>
          <t>완료</t>
        </is>
      </c>
      <c r="L143" s="3" t="n">
        <v>4</v>
      </c>
    </row>
    <row r="144">
      <c r="A144" t="inlineStr">
        <is>
          <t>ORD-2026-0143</t>
        </is>
      </c>
      <c r="B144" s="2" t="n">
        <v>46136</v>
      </c>
      <c r="C144" t="inlineStr">
        <is>
          <t>두리물류</t>
        </is>
      </c>
      <c r="D144" t="inlineStr">
        <is>
          <t>경기</t>
        </is>
      </c>
      <c r="E144" t="inlineStr">
        <is>
          <t>부품</t>
        </is>
      </c>
      <c r="F144" t="inlineStr">
        <is>
          <t>센서 모듈 S1</t>
        </is>
      </c>
      <c r="G144" s="3" t="n">
        <v>66</v>
      </c>
      <c r="H144" s="4" t="n">
        <v>85000</v>
      </c>
      <c r="I144" s="4" t="n">
        <v>5610000</v>
      </c>
      <c r="J144" t="inlineStr">
        <is>
          <t>최수아</t>
        </is>
      </c>
      <c r="K144" t="inlineStr">
        <is>
          <t>대기</t>
        </is>
      </c>
      <c r="L144" s="3" t="n">
        <v>4</v>
      </c>
    </row>
    <row r="145">
      <c r="A145" t="inlineStr">
        <is>
          <t>ORD-2026-0144</t>
        </is>
      </c>
      <c r="B145" s="2" t="n">
        <v>46138</v>
      </c>
      <c r="C145" t="inlineStr">
        <is>
          <t>가온테크</t>
        </is>
      </c>
      <c r="D145" t="inlineStr">
        <is>
          <t>서울</t>
        </is>
      </c>
      <c r="E145" t="inlineStr">
        <is>
          <t>소모품</t>
        </is>
      </c>
      <c r="F145" t="inlineStr">
        <is>
          <t>절연 테이프(50개)</t>
        </is>
      </c>
      <c r="G145" s="3" t="n">
        <v>13</v>
      </c>
      <c r="H145" s="4" t="n">
        <v>15000</v>
      </c>
      <c r="I145" s="4" t="n">
        <v>195000</v>
      </c>
      <c r="J145" t="inlineStr">
        <is>
          <t>박지훈</t>
        </is>
      </c>
      <c r="K145" t="inlineStr">
        <is>
          <t>완료</t>
        </is>
      </c>
      <c r="L145" s="3" t="n">
        <v>4</v>
      </c>
    </row>
    <row r="146">
      <c r="A146" t="inlineStr">
        <is>
          <t>ORD-2026-0145</t>
        </is>
      </c>
      <c r="B146" s="2" t="n">
        <v>46138</v>
      </c>
      <c r="C146" t="inlineStr">
        <is>
          <t>한결소재</t>
        </is>
      </c>
      <c r="D146" t="inlineStr">
        <is>
          <t>경기</t>
        </is>
      </c>
      <c r="E146" t="inlineStr">
        <is>
          <t>소모품</t>
        </is>
      </c>
      <c r="F146" t="inlineStr">
        <is>
          <t>윤활유 20L</t>
        </is>
      </c>
      <c r="G146" s="3" t="n">
        <v>50</v>
      </c>
      <c r="H146" s="4" t="n">
        <v>38000</v>
      </c>
      <c r="I146" s="4" t="n">
        <v>1900000</v>
      </c>
      <c r="J146" t="inlineStr">
        <is>
          <t>박지훈</t>
        </is>
      </c>
      <c r="K146" t="inlineStr">
        <is>
          <t>완료</t>
        </is>
      </c>
      <c r="L146" s="3" t="n">
        <v>4</v>
      </c>
    </row>
    <row r="147">
      <c r="A147" t="inlineStr">
        <is>
          <t>ORD-2026-0146</t>
        </is>
      </c>
      <c r="B147" s="2" t="n">
        <v>46138</v>
      </c>
      <c r="C147" t="inlineStr">
        <is>
          <t>삼일기계</t>
        </is>
      </c>
      <c r="D147" t="inlineStr">
        <is>
          <t>대구</t>
        </is>
      </c>
      <c r="E147" t="inlineStr">
        <is>
          <t>모듈</t>
        </is>
      </c>
      <c r="F147" t="inlineStr">
        <is>
          <t>통신 모듈 TM-5</t>
        </is>
      </c>
      <c r="G147" s="3" t="n">
        <v>5</v>
      </c>
      <c r="H147" s="4" t="n">
        <v>290000</v>
      </c>
      <c r="I147" s="4" t="n">
        <v>1450000</v>
      </c>
      <c r="J147" t="inlineStr">
        <is>
          <t>최수아</t>
        </is>
      </c>
      <c r="K147" t="inlineStr">
        <is>
          <t>완료</t>
        </is>
      </c>
      <c r="L147" s="3" t="n">
        <v>4</v>
      </c>
    </row>
    <row r="148">
      <c r="A148" t="inlineStr">
        <is>
          <t>ORD-2026-0147</t>
        </is>
      </c>
      <c r="B148" s="2" t="n">
        <v>46138</v>
      </c>
      <c r="C148" t="inlineStr">
        <is>
          <t>신영유통</t>
        </is>
      </c>
      <c r="D148" t="inlineStr">
        <is>
          <t>인천</t>
        </is>
      </c>
      <c r="E148" t="inlineStr">
        <is>
          <t>서비스</t>
        </is>
      </c>
      <c r="F148" t="inlineStr">
        <is>
          <t>설치 지원</t>
        </is>
      </c>
      <c r="G148" s="3" t="n">
        <v>3</v>
      </c>
      <c r="H148" s="4" t="n">
        <v>800000</v>
      </c>
      <c r="I148" s="4" t="n">
        <v>2400000</v>
      </c>
      <c r="J148" t="inlineStr">
        <is>
          <t>최수아</t>
        </is>
      </c>
      <c r="K148" t="inlineStr">
        <is>
          <t>완료</t>
        </is>
      </c>
      <c r="L148" s="3" t="n">
        <v>4</v>
      </c>
    </row>
    <row r="149">
      <c r="A149" t="inlineStr">
        <is>
          <t>ORD-2026-0148</t>
        </is>
      </c>
      <c r="B149" s="2" t="n">
        <v>46138</v>
      </c>
      <c r="C149" t="inlineStr">
        <is>
          <t>우주케미칼</t>
        </is>
      </c>
      <c r="D149" t="inlineStr">
        <is>
          <t>울산</t>
        </is>
      </c>
      <c r="E149" t="inlineStr">
        <is>
          <t>서비스</t>
        </is>
      </c>
      <c r="F149" t="inlineStr">
        <is>
          <t>기술 교육(1일)</t>
        </is>
      </c>
      <c r="G149" s="3" t="n">
        <v>2</v>
      </c>
      <c r="H149" s="4" t="n">
        <v>1200000</v>
      </c>
      <c r="I149" s="4" t="n">
        <v>2400000</v>
      </c>
      <c r="J149" t="inlineStr">
        <is>
          <t>박지훈</t>
        </is>
      </c>
      <c r="K149" t="inlineStr">
        <is>
          <t>완료</t>
        </is>
      </c>
      <c r="L149" s="3" t="n">
        <v>4</v>
      </c>
    </row>
    <row r="150">
      <c r="A150" t="inlineStr">
        <is>
          <t>ORD-2026-0149</t>
        </is>
      </c>
      <c r="B150" s="2" t="n">
        <v>46139</v>
      </c>
      <c r="C150" t="inlineStr">
        <is>
          <t>명진화학</t>
        </is>
      </c>
      <c r="D150" t="inlineStr">
        <is>
          <t>울산</t>
        </is>
      </c>
      <c r="E150" t="inlineStr">
        <is>
          <t>부품</t>
        </is>
      </c>
      <c r="F150" t="inlineStr">
        <is>
          <t>베어링 세트</t>
        </is>
      </c>
      <c r="G150" s="3" t="n">
        <v>77</v>
      </c>
      <c r="H150" s="4" t="n">
        <v>45000</v>
      </c>
      <c r="I150" s="4" t="n">
        <v>3465000</v>
      </c>
      <c r="J150" t="inlineStr">
        <is>
          <t>김민준</t>
        </is>
      </c>
      <c r="K150" t="inlineStr">
        <is>
          <t>완료</t>
        </is>
      </c>
      <c r="L150" s="3" t="n">
        <v>4</v>
      </c>
    </row>
    <row r="151">
      <c r="A151" t="inlineStr">
        <is>
          <t>ORD-2026-0150</t>
        </is>
      </c>
      <c r="B151" s="2" t="n">
        <v>46140</v>
      </c>
      <c r="C151" t="inlineStr">
        <is>
          <t>백두정공</t>
        </is>
      </c>
      <c r="D151" t="inlineStr">
        <is>
          <t>대구</t>
        </is>
      </c>
      <c r="E151" t="inlineStr">
        <is>
          <t>모듈</t>
        </is>
      </c>
      <c r="F151" t="inlineStr">
        <is>
          <t>제어 모듈 CM-100</t>
        </is>
      </c>
      <c r="G151" s="3" t="n">
        <v>7</v>
      </c>
      <c r="H151" s="4" t="n">
        <v>650000</v>
      </c>
      <c r="I151" s="4" t="n">
        <v>4550000</v>
      </c>
      <c r="J151" t="inlineStr">
        <is>
          <t>정우진</t>
        </is>
      </c>
      <c r="K151" t="inlineStr">
        <is>
          <t>취소</t>
        </is>
      </c>
      <c r="L151" s="3" t="n">
        <v>4</v>
      </c>
    </row>
    <row r="152">
      <c r="A152" t="inlineStr">
        <is>
          <t>ORD-2026-0151</t>
        </is>
      </c>
      <c r="B152" s="2" t="n">
        <v>46140</v>
      </c>
      <c r="C152" t="inlineStr">
        <is>
          <t>나래시스템</t>
        </is>
      </c>
      <c r="D152" t="inlineStr">
        <is>
          <t>서울</t>
        </is>
      </c>
      <c r="E152" t="inlineStr">
        <is>
          <t>모듈</t>
        </is>
      </c>
      <c r="F152" t="inlineStr">
        <is>
          <t>통신 모듈 TM-5</t>
        </is>
      </c>
      <c r="G152" s="3" t="n">
        <v>5</v>
      </c>
      <c r="H152" s="4" t="n">
        <v>290000</v>
      </c>
      <c r="I152" s="4" t="n">
        <v>1450000</v>
      </c>
      <c r="J152" t="inlineStr">
        <is>
          <t>이서연</t>
        </is>
      </c>
      <c r="K152" t="inlineStr">
        <is>
          <t>취소</t>
        </is>
      </c>
      <c r="L152" s="3" t="n">
        <v>4</v>
      </c>
    </row>
    <row r="153">
      <c r="A153" t="inlineStr">
        <is>
          <t>ORD-2026-0152</t>
        </is>
      </c>
      <c r="B153" s="2" t="n">
        <v>46145</v>
      </c>
      <c r="C153" t="inlineStr">
        <is>
          <t>삼일기계</t>
        </is>
      </c>
      <c r="D153" t="inlineStr">
        <is>
          <t>대구</t>
        </is>
      </c>
      <c r="E153" t="inlineStr">
        <is>
          <t>모듈</t>
        </is>
      </c>
      <c r="F153" t="inlineStr">
        <is>
          <t>전원 모듈 PM-20</t>
        </is>
      </c>
      <c r="G153" s="3" t="n">
        <v>1</v>
      </c>
      <c r="H153" s="4" t="n">
        <v>380000</v>
      </c>
      <c r="I153" s="4" t="n">
        <v>380000</v>
      </c>
      <c r="J153" t="inlineStr">
        <is>
          <t>최수아</t>
        </is>
      </c>
      <c r="K153" t="inlineStr">
        <is>
          <t>완료</t>
        </is>
      </c>
      <c r="L153" s="3" t="n">
        <v>5</v>
      </c>
    </row>
    <row r="154">
      <c r="A154" t="inlineStr">
        <is>
          <t>ORD-2026-0153</t>
        </is>
      </c>
      <c r="B154" s="2" t="n">
        <v>46146</v>
      </c>
      <c r="C154" t="inlineStr">
        <is>
          <t>한빛전자</t>
        </is>
      </c>
      <c r="D154" t="inlineStr">
        <is>
          <t>서울</t>
        </is>
      </c>
      <c r="E154" t="inlineStr">
        <is>
          <t>소모품</t>
        </is>
      </c>
      <c r="F154" t="inlineStr">
        <is>
          <t>절연 테이프(50개)</t>
        </is>
      </c>
      <c r="G154" s="3" t="n">
        <v>68</v>
      </c>
      <c r="H154" s="4" t="n">
        <v>15000</v>
      </c>
      <c r="I154" s="4" t="n">
        <v>1020000</v>
      </c>
      <c r="J154" t="inlineStr">
        <is>
          <t>최수아</t>
        </is>
      </c>
      <c r="K154" t="inlineStr">
        <is>
          <t>완료</t>
        </is>
      </c>
      <c r="L154" s="3" t="n">
        <v>5</v>
      </c>
    </row>
    <row r="155">
      <c r="A155" t="inlineStr">
        <is>
          <t>ORD-2026-0154</t>
        </is>
      </c>
      <c r="B155" s="2" t="n">
        <v>46147</v>
      </c>
      <c r="C155" t="inlineStr">
        <is>
          <t>세진통상</t>
        </is>
      </c>
      <c r="D155" t="inlineStr">
        <is>
          <t>경기</t>
        </is>
      </c>
      <c r="E155" t="inlineStr">
        <is>
          <t>부품</t>
        </is>
      </c>
      <c r="F155" t="inlineStr">
        <is>
          <t>베어링 세트</t>
        </is>
      </c>
      <c r="G155" s="3" t="n">
        <v>19</v>
      </c>
      <c r="H155" s="4" t="n">
        <v>45000</v>
      </c>
      <c r="I155" s="4" t="n">
        <v>855000</v>
      </c>
      <c r="J155" t="inlineStr">
        <is>
          <t>김민준</t>
        </is>
      </c>
      <c r="K155" t="inlineStr">
        <is>
          <t>완료</t>
        </is>
      </c>
      <c r="L155" s="3" t="n">
        <v>5</v>
      </c>
    </row>
    <row r="156">
      <c r="A156" t="inlineStr">
        <is>
          <t>ORD-2026-0155</t>
        </is>
      </c>
      <c r="B156" s="2" t="n">
        <v>46150</v>
      </c>
      <c r="C156" t="inlineStr">
        <is>
          <t>제일산업</t>
        </is>
      </c>
      <c r="D156" t="inlineStr">
        <is>
          <t>대전</t>
        </is>
      </c>
      <c r="E156" t="inlineStr">
        <is>
          <t>서비스</t>
        </is>
      </c>
      <c r="F156" t="inlineStr">
        <is>
          <t>기술 교육(1일)</t>
        </is>
      </c>
      <c r="G156" s="3" t="n">
        <v>3</v>
      </c>
      <c r="H156" s="4" t="n">
        <v>1200000</v>
      </c>
      <c r="I156" s="4" t="n">
        <v>3600000</v>
      </c>
      <c r="J156" t="inlineStr">
        <is>
          <t>정우진</t>
        </is>
      </c>
      <c r="K156" t="inlineStr">
        <is>
          <t>완료</t>
        </is>
      </c>
      <c r="L156" s="3" t="n">
        <v>5</v>
      </c>
    </row>
    <row r="157">
      <c r="A157" t="inlineStr">
        <is>
          <t>ORD-2026-0156</t>
        </is>
      </c>
      <c r="B157" s="2" t="n">
        <v>46150</v>
      </c>
      <c r="C157" t="inlineStr">
        <is>
          <t>명진화학</t>
        </is>
      </c>
      <c r="D157" t="inlineStr">
        <is>
          <t>울산</t>
        </is>
      </c>
      <c r="E157" t="inlineStr">
        <is>
          <t>모듈</t>
        </is>
      </c>
      <c r="F157" t="inlineStr">
        <is>
          <t>통신 모듈 TM-5</t>
        </is>
      </c>
      <c r="G157" s="3" t="n">
        <v>3</v>
      </c>
      <c r="H157" s="4" t="n">
        <v>290000</v>
      </c>
      <c r="I157" s="4" t="n">
        <v>870000</v>
      </c>
      <c r="J157" t="inlineStr">
        <is>
          <t>정우진</t>
        </is>
      </c>
      <c r="K157" t="inlineStr">
        <is>
          <t>취소</t>
        </is>
      </c>
      <c r="L157" s="3" t="n">
        <v>5</v>
      </c>
    </row>
    <row r="158">
      <c r="A158" t="inlineStr">
        <is>
          <t>ORD-2026-0157</t>
        </is>
      </c>
      <c r="B158" s="2" t="n">
        <v>46150</v>
      </c>
      <c r="C158" t="inlineStr">
        <is>
          <t>세진통상</t>
        </is>
      </c>
      <c r="D158" t="inlineStr">
        <is>
          <t>경기</t>
        </is>
      </c>
      <c r="E158" t="inlineStr">
        <is>
          <t>모듈</t>
        </is>
      </c>
      <c r="F158" t="inlineStr">
        <is>
          <t>통신 모듈 TM-5</t>
        </is>
      </c>
      <c r="G158" s="3" t="n">
        <v>8</v>
      </c>
      <c r="H158" s="4" t="n">
        <v>290000</v>
      </c>
      <c r="I158" s="4" t="n">
        <v>2320000</v>
      </c>
      <c r="J158" t="inlineStr">
        <is>
          <t>이서연</t>
        </is>
      </c>
      <c r="K158" t="inlineStr">
        <is>
          <t>완료</t>
        </is>
      </c>
      <c r="L158" s="3" t="n">
        <v>5</v>
      </c>
    </row>
    <row r="159">
      <c r="A159" t="inlineStr">
        <is>
          <t>ORD-2026-0158</t>
        </is>
      </c>
      <c r="B159" s="2" t="n">
        <v>46151</v>
      </c>
      <c r="C159" t="inlineStr">
        <is>
          <t>미래테크</t>
        </is>
      </c>
      <c r="D159" t="inlineStr">
        <is>
          <t>서울</t>
        </is>
      </c>
      <c r="E159" t="inlineStr">
        <is>
          <t>서비스</t>
        </is>
      </c>
      <c r="F159" t="inlineStr">
        <is>
          <t>설치 지원</t>
        </is>
      </c>
      <c r="G159" s="3" t="n">
        <v>3</v>
      </c>
      <c r="H159" s="4" t="n">
        <v>800000</v>
      </c>
      <c r="I159" s="4" t="n">
        <v>2400000</v>
      </c>
      <c r="J159" t="inlineStr">
        <is>
          <t>박지훈</t>
        </is>
      </c>
      <c r="K159" t="inlineStr">
        <is>
          <t>대기</t>
        </is>
      </c>
      <c r="L159" s="3" t="n">
        <v>5</v>
      </c>
    </row>
    <row r="160">
      <c r="A160" t="inlineStr">
        <is>
          <t>ORD-2026-0159</t>
        </is>
      </c>
      <c r="B160" s="2" t="n">
        <v>46152</v>
      </c>
      <c r="C160" t="inlineStr">
        <is>
          <t>그린에너지</t>
        </is>
      </c>
      <c r="D160" t="inlineStr">
        <is>
          <t>광주</t>
        </is>
      </c>
      <c r="E160" t="inlineStr">
        <is>
          <t>서비스</t>
        </is>
      </c>
      <c r="F160" t="inlineStr">
        <is>
          <t>기술 교육(1일)</t>
        </is>
      </c>
      <c r="G160" s="3" t="n">
        <v>1</v>
      </c>
      <c r="H160" s="4" t="n">
        <v>1200000</v>
      </c>
      <c r="I160" s="4" t="n">
        <v>1200000</v>
      </c>
      <c r="J160" t="inlineStr">
        <is>
          <t>김민준</t>
        </is>
      </c>
      <c r="K160" t="inlineStr">
        <is>
          <t>완료</t>
        </is>
      </c>
      <c r="L160" s="3" t="n">
        <v>5</v>
      </c>
    </row>
    <row r="161">
      <c r="A161" t="inlineStr">
        <is>
          <t>ORD-2026-0160</t>
        </is>
      </c>
      <c r="B161" s="2" t="n">
        <v>46152</v>
      </c>
      <c r="C161" t="inlineStr">
        <is>
          <t>세진통상</t>
        </is>
      </c>
      <c r="D161" t="inlineStr">
        <is>
          <t>경기</t>
        </is>
      </c>
      <c r="E161" t="inlineStr">
        <is>
          <t>부품</t>
        </is>
      </c>
      <c r="F161" t="inlineStr">
        <is>
          <t>베어링 세트</t>
        </is>
      </c>
      <c r="G161" s="3" t="n">
        <v>75</v>
      </c>
      <c r="H161" s="4" t="n">
        <v>45000</v>
      </c>
      <c r="I161" s="4" t="n">
        <v>3375000</v>
      </c>
      <c r="J161" t="inlineStr">
        <is>
          <t>김민준</t>
        </is>
      </c>
      <c r="K161" t="inlineStr">
        <is>
          <t>완료</t>
        </is>
      </c>
      <c r="L161" s="3" t="n">
        <v>5</v>
      </c>
    </row>
    <row r="162">
      <c r="A162" t="inlineStr">
        <is>
          <t>ORD-2026-0161</t>
        </is>
      </c>
      <c r="B162" s="2" t="n">
        <v>46152</v>
      </c>
      <c r="C162" t="inlineStr">
        <is>
          <t>삼일기계</t>
        </is>
      </c>
      <c r="D162" t="inlineStr">
        <is>
          <t>대구</t>
        </is>
      </c>
      <c r="E162" t="inlineStr">
        <is>
          <t>모듈</t>
        </is>
      </c>
      <c r="F162" t="inlineStr">
        <is>
          <t>통신 모듈 TM-5</t>
        </is>
      </c>
      <c r="G162" s="3" t="n">
        <v>6</v>
      </c>
      <c r="H162" s="4" t="n">
        <v>290000</v>
      </c>
      <c r="I162" s="4" t="n">
        <v>1740000</v>
      </c>
      <c r="J162" t="inlineStr">
        <is>
          <t>김민준</t>
        </is>
      </c>
      <c r="K162" t="inlineStr">
        <is>
          <t>취소</t>
        </is>
      </c>
      <c r="L162" s="3" t="n">
        <v>5</v>
      </c>
    </row>
    <row r="163">
      <c r="A163" t="inlineStr">
        <is>
          <t>ORD-2026-0162</t>
        </is>
      </c>
      <c r="B163" s="2" t="n">
        <v>46154</v>
      </c>
      <c r="C163" t="inlineStr">
        <is>
          <t>가온테크</t>
        </is>
      </c>
      <c r="D163" t="inlineStr">
        <is>
          <t>서울</t>
        </is>
      </c>
      <c r="E163" t="inlineStr">
        <is>
          <t>모듈</t>
        </is>
      </c>
      <c r="F163" t="inlineStr">
        <is>
          <t>통신 모듈 TM-5</t>
        </is>
      </c>
      <c r="G163" s="3" t="n">
        <v>11</v>
      </c>
      <c r="H163" s="4" t="n">
        <v>290000</v>
      </c>
      <c r="I163" s="4" t="n">
        <v>3190000</v>
      </c>
      <c r="J163" t="inlineStr">
        <is>
          <t>이서연</t>
        </is>
      </c>
      <c r="K163" t="inlineStr">
        <is>
          <t>완료</t>
        </is>
      </c>
      <c r="L163" s="3" t="n">
        <v>5</v>
      </c>
    </row>
    <row r="164">
      <c r="A164" t="inlineStr">
        <is>
          <t>ORD-2026-0163</t>
        </is>
      </c>
      <c r="B164" s="2" t="n">
        <v>46154</v>
      </c>
      <c r="C164" t="inlineStr">
        <is>
          <t>청운상사</t>
        </is>
      </c>
      <c r="D164" t="inlineStr">
        <is>
          <t>부산</t>
        </is>
      </c>
      <c r="E164" t="inlineStr">
        <is>
          <t>서비스</t>
        </is>
      </c>
      <c r="F164" t="inlineStr">
        <is>
          <t>기술 교육(1일)</t>
        </is>
      </c>
      <c r="G164" s="3" t="n">
        <v>3</v>
      </c>
      <c r="H164" s="4" t="n">
        <v>1200000</v>
      </c>
      <c r="I164" s="4" t="n">
        <v>3600000</v>
      </c>
      <c r="J164" t="inlineStr">
        <is>
          <t>김민준</t>
        </is>
      </c>
      <c r="K164" t="inlineStr">
        <is>
          <t>완료</t>
        </is>
      </c>
      <c r="L164" s="3" t="n">
        <v>5</v>
      </c>
    </row>
    <row r="165">
      <c r="A165" t="inlineStr">
        <is>
          <t>ORD-2026-0164</t>
        </is>
      </c>
      <c r="B165" s="2" t="n">
        <v>46154</v>
      </c>
      <c r="C165" t="inlineStr">
        <is>
          <t>미래테크</t>
        </is>
      </c>
      <c r="D165" t="inlineStr">
        <is>
          <t>서울</t>
        </is>
      </c>
      <c r="E165" t="inlineStr">
        <is>
          <t>소모품</t>
        </is>
      </c>
      <c r="F165" t="inlineStr">
        <is>
          <t>윤활유 20L</t>
        </is>
      </c>
      <c r="G165" s="3" t="n">
        <v>193</v>
      </c>
      <c r="H165" s="4" t="n">
        <v>38000</v>
      </c>
      <c r="I165" s="4" t="n">
        <v>7334000</v>
      </c>
      <c r="J165" t="inlineStr">
        <is>
          <t>정우진</t>
        </is>
      </c>
      <c r="K165" t="inlineStr">
        <is>
          <t>완료</t>
        </is>
      </c>
      <c r="L165" s="3" t="n">
        <v>5</v>
      </c>
    </row>
    <row r="166">
      <c r="A166" t="inlineStr">
        <is>
          <t>ORD-2026-0165</t>
        </is>
      </c>
      <c r="B166" s="2" t="n">
        <v>46155</v>
      </c>
      <c r="C166" t="inlineStr">
        <is>
          <t>나래시스템</t>
        </is>
      </c>
      <c r="D166" t="inlineStr">
        <is>
          <t>서울</t>
        </is>
      </c>
      <c r="E166" t="inlineStr">
        <is>
          <t>서비스</t>
        </is>
      </c>
      <c r="F166" t="inlineStr">
        <is>
          <t>기술 교육(1일)</t>
        </is>
      </c>
      <c r="G166" s="3" t="n">
        <v>2</v>
      </c>
      <c r="H166" s="4" t="n">
        <v>1200000</v>
      </c>
      <c r="I166" s="4" t="n">
        <v>2400000</v>
      </c>
      <c r="J166" t="inlineStr">
        <is>
          <t>박지훈</t>
        </is>
      </c>
      <c r="K166" t="inlineStr">
        <is>
          <t>대기</t>
        </is>
      </c>
      <c r="L166" s="3" t="n">
        <v>5</v>
      </c>
    </row>
    <row r="167">
      <c r="A167" t="inlineStr">
        <is>
          <t>ORD-2026-0166</t>
        </is>
      </c>
      <c r="B167" s="2" t="n">
        <v>46155</v>
      </c>
      <c r="C167" t="inlineStr">
        <is>
          <t>나래시스템</t>
        </is>
      </c>
      <c r="D167" t="inlineStr">
        <is>
          <t>서울</t>
        </is>
      </c>
      <c r="E167" t="inlineStr">
        <is>
          <t>서비스</t>
        </is>
      </c>
      <c r="F167" t="inlineStr">
        <is>
          <t>정기 점검</t>
        </is>
      </c>
      <c r="G167" s="3" t="n">
        <v>3</v>
      </c>
      <c r="H167" s="4" t="n">
        <v>500000</v>
      </c>
      <c r="I167" s="4" t="n">
        <v>1500000</v>
      </c>
      <c r="J167" t="inlineStr">
        <is>
          <t>정우진</t>
        </is>
      </c>
      <c r="K167" t="inlineStr">
        <is>
          <t>완료</t>
        </is>
      </c>
      <c r="L167" s="3" t="n">
        <v>5</v>
      </c>
    </row>
    <row r="168">
      <c r="A168" t="inlineStr">
        <is>
          <t>ORD-2026-0167</t>
        </is>
      </c>
      <c r="B168" s="2" t="n">
        <v>46155</v>
      </c>
      <c r="C168" t="inlineStr">
        <is>
          <t>세진통상</t>
        </is>
      </c>
      <c r="D168" t="inlineStr">
        <is>
          <t>경기</t>
        </is>
      </c>
      <c r="E168" t="inlineStr">
        <is>
          <t>부품</t>
        </is>
      </c>
      <c r="F168" t="inlineStr">
        <is>
          <t>센서 모듈 S1</t>
        </is>
      </c>
      <c r="G168" s="3" t="n">
        <v>14</v>
      </c>
      <c r="H168" s="4" t="n">
        <v>85000</v>
      </c>
      <c r="I168" s="4" t="n">
        <v>1190000</v>
      </c>
      <c r="J168" t="inlineStr">
        <is>
          <t>최수아</t>
        </is>
      </c>
      <c r="K168" t="inlineStr">
        <is>
          <t>완료</t>
        </is>
      </c>
      <c r="L168" s="3" t="n">
        <v>5</v>
      </c>
    </row>
    <row r="169">
      <c r="A169" t="inlineStr">
        <is>
          <t>ORD-2026-0168</t>
        </is>
      </c>
      <c r="B169" s="2" t="n">
        <v>46155</v>
      </c>
      <c r="C169" t="inlineStr">
        <is>
          <t>삼일기계</t>
        </is>
      </c>
      <c r="D169" t="inlineStr">
        <is>
          <t>대구</t>
        </is>
      </c>
      <c r="E169" t="inlineStr">
        <is>
          <t>소모품</t>
        </is>
      </c>
      <c r="F169" t="inlineStr">
        <is>
          <t>필터 카트리지</t>
        </is>
      </c>
      <c r="G169" s="3" t="n">
        <v>200</v>
      </c>
      <c r="H169" s="4" t="n">
        <v>22000</v>
      </c>
      <c r="I169" s="4" t="n">
        <v>4400000</v>
      </c>
      <c r="J169" t="inlineStr">
        <is>
          <t>김민준</t>
        </is>
      </c>
      <c r="K169" t="inlineStr">
        <is>
          <t>완료</t>
        </is>
      </c>
      <c r="L169" s="3" t="n">
        <v>5</v>
      </c>
    </row>
    <row r="170">
      <c r="A170" t="inlineStr">
        <is>
          <t>ORD-2026-0169</t>
        </is>
      </c>
      <c r="B170" s="2" t="n">
        <v>46156</v>
      </c>
      <c r="C170" t="inlineStr">
        <is>
          <t>삼일기계</t>
        </is>
      </c>
      <c r="D170" t="inlineStr">
        <is>
          <t>대구</t>
        </is>
      </c>
      <c r="E170" t="inlineStr">
        <is>
          <t>모듈</t>
        </is>
      </c>
      <c r="F170" t="inlineStr">
        <is>
          <t>전원 모듈 PM-20</t>
        </is>
      </c>
      <c r="G170" s="3" t="n">
        <v>12</v>
      </c>
      <c r="H170" s="4" t="n">
        <v>380000</v>
      </c>
      <c r="I170" s="4" t="n">
        <v>4560000</v>
      </c>
      <c r="J170" t="inlineStr">
        <is>
          <t>박지훈</t>
        </is>
      </c>
      <c r="K170" t="inlineStr">
        <is>
          <t>완료</t>
        </is>
      </c>
      <c r="L170" s="3" t="n">
        <v>5</v>
      </c>
    </row>
    <row r="171">
      <c r="A171" t="inlineStr">
        <is>
          <t>ORD-2026-0170</t>
        </is>
      </c>
      <c r="B171" s="2" t="n">
        <v>46156</v>
      </c>
      <c r="C171" t="inlineStr">
        <is>
          <t>세진통상</t>
        </is>
      </c>
      <c r="D171" t="inlineStr">
        <is>
          <t>경기</t>
        </is>
      </c>
      <c r="E171" t="inlineStr">
        <is>
          <t>부품</t>
        </is>
      </c>
      <c r="F171" t="inlineStr">
        <is>
          <t>센서 모듈 S1</t>
        </is>
      </c>
      <c r="G171" s="3" t="n">
        <v>74</v>
      </c>
      <c r="H171" s="4" t="n">
        <v>85000</v>
      </c>
      <c r="I171" s="4" t="n">
        <v>6290000</v>
      </c>
      <c r="J171" t="inlineStr">
        <is>
          <t>박지훈</t>
        </is>
      </c>
      <c r="K171" t="inlineStr">
        <is>
          <t>취소</t>
        </is>
      </c>
      <c r="L171" s="3" t="n">
        <v>5</v>
      </c>
    </row>
    <row r="172">
      <c r="A172" t="inlineStr">
        <is>
          <t>ORD-2026-0171</t>
        </is>
      </c>
      <c r="B172" s="2" t="n">
        <v>46156</v>
      </c>
      <c r="C172" t="inlineStr">
        <is>
          <t>가온테크</t>
        </is>
      </c>
      <c r="D172" t="inlineStr">
        <is>
          <t>서울</t>
        </is>
      </c>
      <c r="E172" t="inlineStr">
        <is>
          <t>부품</t>
        </is>
      </c>
      <c r="F172" t="inlineStr">
        <is>
          <t>센서 모듈 S1</t>
        </is>
      </c>
      <c r="G172" s="3" t="n">
        <v>79</v>
      </c>
      <c r="H172" s="4" t="n">
        <v>85000</v>
      </c>
      <c r="I172" s="4" t="n">
        <v>6715000</v>
      </c>
      <c r="J172" t="inlineStr">
        <is>
          <t>이서연</t>
        </is>
      </c>
      <c r="K172" t="inlineStr">
        <is>
          <t>대기</t>
        </is>
      </c>
      <c r="L172" s="3" t="n">
        <v>5</v>
      </c>
    </row>
    <row r="173">
      <c r="A173" t="inlineStr">
        <is>
          <t>ORD-2026-0172</t>
        </is>
      </c>
      <c r="B173" s="2" t="n">
        <v>46157</v>
      </c>
      <c r="C173" t="inlineStr">
        <is>
          <t>제일산업</t>
        </is>
      </c>
      <c r="D173" t="inlineStr">
        <is>
          <t>대전</t>
        </is>
      </c>
      <c r="E173" t="inlineStr">
        <is>
          <t>소모품</t>
        </is>
      </c>
      <c r="F173" t="inlineStr">
        <is>
          <t>필터 카트리지</t>
        </is>
      </c>
      <c r="G173" s="3" t="n">
        <v>175</v>
      </c>
      <c r="H173" s="4" t="n">
        <v>22000</v>
      </c>
      <c r="I173" s="4" t="n">
        <v>3850000</v>
      </c>
      <c r="J173" t="inlineStr">
        <is>
          <t>이서연</t>
        </is>
      </c>
      <c r="K173" t="inlineStr">
        <is>
          <t>완료</t>
        </is>
      </c>
      <c r="L173" s="3" t="n">
        <v>5</v>
      </c>
    </row>
    <row r="174">
      <c r="A174" t="inlineStr">
        <is>
          <t>ORD-2026-0173</t>
        </is>
      </c>
      <c r="B174" s="2" t="n">
        <v>46158</v>
      </c>
      <c r="C174" t="inlineStr">
        <is>
          <t>가온테크</t>
        </is>
      </c>
      <c r="D174" t="inlineStr">
        <is>
          <t>서울</t>
        </is>
      </c>
      <c r="E174" t="inlineStr">
        <is>
          <t>서비스</t>
        </is>
      </c>
      <c r="F174" t="inlineStr">
        <is>
          <t>설치 지원</t>
        </is>
      </c>
      <c r="G174" s="3" t="n">
        <v>1</v>
      </c>
      <c r="H174" s="4" t="n">
        <v>800000</v>
      </c>
      <c r="I174" s="4" t="n">
        <v>800000</v>
      </c>
      <c r="J174" t="inlineStr">
        <is>
          <t>김민준</t>
        </is>
      </c>
      <c r="K174" t="inlineStr">
        <is>
          <t>완료</t>
        </is>
      </c>
      <c r="L174" s="3" t="n">
        <v>5</v>
      </c>
    </row>
    <row r="175">
      <c r="A175" t="inlineStr">
        <is>
          <t>ORD-2026-0174</t>
        </is>
      </c>
      <c r="B175" s="2" t="n">
        <v>46158</v>
      </c>
      <c r="C175" t="inlineStr">
        <is>
          <t>제일산업</t>
        </is>
      </c>
      <c r="D175" t="inlineStr">
        <is>
          <t>대전</t>
        </is>
      </c>
      <c r="E175" t="inlineStr">
        <is>
          <t>모듈</t>
        </is>
      </c>
      <c r="F175" t="inlineStr">
        <is>
          <t>전원 모듈 PM-20</t>
        </is>
      </c>
      <c r="G175" s="3" t="n">
        <v>12</v>
      </c>
      <c r="H175" s="4" t="n">
        <v>380000</v>
      </c>
      <c r="I175" s="4" t="n">
        <v>4560000</v>
      </c>
      <c r="J175" t="inlineStr">
        <is>
          <t>최수아</t>
        </is>
      </c>
      <c r="K175" t="inlineStr">
        <is>
          <t>취소</t>
        </is>
      </c>
      <c r="L175" s="3" t="n">
        <v>5</v>
      </c>
    </row>
    <row r="176">
      <c r="A176" t="inlineStr">
        <is>
          <t>ORD-2026-0175</t>
        </is>
      </c>
      <c r="B176" s="2" t="n">
        <v>46158</v>
      </c>
      <c r="C176" t="inlineStr">
        <is>
          <t>우주케미칼</t>
        </is>
      </c>
      <c r="D176" t="inlineStr">
        <is>
          <t>울산</t>
        </is>
      </c>
      <c r="E176" t="inlineStr">
        <is>
          <t>소모품</t>
        </is>
      </c>
      <c r="F176" t="inlineStr">
        <is>
          <t>절연 테이프(50개)</t>
        </is>
      </c>
      <c r="G176" s="3" t="n">
        <v>111</v>
      </c>
      <c r="H176" s="4" t="n">
        <v>15000</v>
      </c>
      <c r="I176" s="4" t="n">
        <v>1665000</v>
      </c>
      <c r="J176" t="inlineStr">
        <is>
          <t>최수아</t>
        </is>
      </c>
      <c r="K176" t="inlineStr">
        <is>
          <t>완료</t>
        </is>
      </c>
      <c r="L176" s="3" t="n">
        <v>5</v>
      </c>
    </row>
    <row r="177">
      <c r="A177" t="inlineStr">
        <is>
          <t>ORD-2026-0176</t>
        </is>
      </c>
      <c r="B177" s="2" t="n">
        <v>46158</v>
      </c>
      <c r="C177" t="inlineStr">
        <is>
          <t>동양정밀</t>
        </is>
      </c>
      <c r="D177" t="inlineStr">
        <is>
          <t>인천</t>
        </is>
      </c>
      <c r="E177" t="inlineStr">
        <is>
          <t>부품</t>
        </is>
      </c>
      <c r="F177" t="inlineStr">
        <is>
          <t>센서 모듈 S1</t>
        </is>
      </c>
      <c r="G177" s="3" t="n">
        <v>16</v>
      </c>
      <c r="H177" s="4" t="n">
        <v>85000</v>
      </c>
      <c r="I177" s="4" t="n">
        <v>1360000</v>
      </c>
      <c r="J177" t="inlineStr">
        <is>
          <t>김민준</t>
        </is>
      </c>
      <c r="K177" t="inlineStr">
        <is>
          <t>완료</t>
        </is>
      </c>
      <c r="L177" s="3" t="n">
        <v>5</v>
      </c>
    </row>
    <row r="178">
      <c r="A178" t="inlineStr">
        <is>
          <t>ORD-2026-0177</t>
        </is>
      </c>
      <c r="B178" s="2" t="n">
        <v>46161</v>
      </c>
      <c r="C178" t="inlineStr">
        <is>
          <t>푸른자동화</t>
        </is>
      </c>
      <c r="D178" t="inlineStr">
        <is>
          <t>광주</t>
        </is>
      </c>
      <c r="E178" t="inlineStr">
        <is>
          <t>서비스</t>
        </is>
      </c>
      <c r="F178" t="inlineStr">
        <is>
          <t>기술 교육(1일)</t>
        </is>
      </c>
      <c r="G178" s="3" t="n">
        <v>2</v>
      </c>
      <c r="H178" s="4" t="n">
        <v>1200000</v>
      </c>
      <c r="I178" s="4" t="n">
        <v>2400000</v>
      </c>
      <c r="J178" t="inlineStr">
        <is>
          <t>김민준</t>
        </is>
      </c>
      <c r="K178" t="inlineStr">
        <is>
          <t>완료</t>
        </is>
      </c>
      <c r="L178" s="3" t="n">
        <v>5</v>
      </c>
    </row>
    <row r="179">
      <c r="A179" t="inlineStr">
        <is>
          <t>ORD-2026-0178</t>
        </is>
      </c>
      <c r="B179" s="2" t="n">
        <v>46161</v>
      </c>
      <c r="C179" t="inlineStr">
        <is>
          <t>한빛전자</t>
        </is>
      </c>
      <c r="D179" t="inlineStr">
        <is>
          <t>서울</t>
        </is>
      </c>
      <c r="E179" t="inlineStr">
        <is>
          <t>부품</t>
        </is>
      </c>
      <c r="F179" t="inlineStr">
        <is>
          <t>베어링 세트</t>
        </is>
      </c>
      <c r="G179" s="3" t="n">
        <v>79</v>
      </c>
      <c r="H179" s="4" t="n">
        <v>45000</v>
      </c>
      <c r="I179" s="4" t="n">
        <v>3555000</v>
      </c>
      <c r="J179" t="inlineStr">
        <is>
          <t>최수아</t>
        </is>
      </c>
      <c r="K179" t="inlineStr">
        <is>
          <t>완료</t>
        </is>
      </c>
      <c r="L179" s="3" t="n">
        <v>5</v>
      </c>
    </row>
    <row r="180">
      <c r="A180" t="inlineStr">
        <is>
          <t>ORD-2026-0179</t>
        </is>
      </c>
      <c r="B180" s="2" t="n">
        <v>46162</v>
      </c>
      <c r="C180" t="inlineStr">
        <is>
          <t>우주케미칼</t>
        </is>
      </c>
      <c r="D180" t="inlineStr">
        <is>
          <t>울산</t>
        </is>
      </c>
      <c r="E180" t="inlineStr">
        <is>
          <t>서비스</t>
        </is>
      </c>
      <c r="F180" t="inlineStr">
        <is>
          <t>정기 점검</t>
        </is>
      </c>
      <c r="G180" s="3" t="n">
        <v>1</v>
      </c>
      <c r="H180" s="4" t="n">
        <v>500000</v>
      </c>
      <c r="I180" s="4" t="n">
        <v>500000</v>
      </c>
      <c r="J180" t="inlineStr">
        <is>
          <t>이서연</t>
        </is>
      </c>
      <c r="K180" t="inlineStr">
        <is>
          <t>완료</t>
        </is>
      </c>
      <c r="L180" s="3" t="n">
        <v>5</v>
      </c>
    </row>
    <row r="181">
      <c r="A181" t="inlineStr">
        <is>
          <t>ORD-2026-0180</t>
        </is>
      </c>
      <c r="B181" s="2" t="n">
        <v>46164</v>
      </c>
      <c r="C181" t="inlineStr">
        <is>
          <t>동양정밀</t>
        </is>
      </c>
      <c r="D181" t="inlineStr">
        <is>
          <t>인천</t>
        </is>
      </c>
      <c r="E181" t="inlineStr">
        <is>
          <t>소모품</t>
        </is>
      </c>
      <c r="F181" t="inlineStr">
        <is>
          <t>필터 카트리지</t>
        </is>
      </c>
      <c r="G181" s="3" t="n">
        <v>108</v>
      </c>
      <c r="H181" s="4" t="n">
        <v>22000</v>
      </c>
      <c r="I181" s="4" t="n">
        <v>2376000</v>
      </c>
      <c r="J181" t="inlineStr">
        <is>
          <t>최수아</t>
        </is>
      </c>
      <c r="K181" t="inlineStr">
        <is>
          <t>완료</t>
        </is>
      </c>
      <c r="L181" s="3" t="n">
        <v>5</v>
      </c>
    </row>
    <row r="182">
      <c r="A182" t="inlineStr">
        <is>
          <t>ORD-2026-0181</t>
        </is>
      </c>
      <c r="B182" s="2" t="n">
        <v>46167</v>
      </c>
      <c r="C182" t="inlineStr">
        <is>
          <t>백두정공</t>
        </is>
      </c>
      <c r="D182" t="inlineStr">
        <is>
          <t>대구</t>
        </is>
      </c>
      <c r="E182" t="inlineStr">
        <is>
          <t>부품</t>
        </is>
      </c>
      <c r="F182" t="inlineStr">
        <is>
          <t>센서 모듈 S1</t>
        </is>
      </c>
      <c r="G182" s="3" t="n">
        <v>21</v>
      </c>
      <c r="H182" s="4" t="n">
        <v>85000</v>
      </c>
      <c r="I182" s="4" t="n">
        <v>1785000</v>
      </c>
      <c r="J182" t="inlineStr">
        <is>
          <t>정우진</t>
        </is>
      </c>
      <c r="K182" t="inlineStr">
        <is>
          <t>완료</t>
        </is>
      </c>
      <c r="L182" s="3" t="n">
        <v>5</v>
      </c>
    </row>
    <row r="183">
      <c r="A183" t="inlineStr">
        <is>
          <t>ORD-2026-0182</t>
        </is>
      </c>
      <c r="B183" s="2" t="n">
        <v>46168</v>
      </c>
      <c r="C183" t="inlineStr">
        <is>
          <t>유성전기</t>
        </is>
      </c>
      <c r="D183" t="inlineStr">
        <is>
          <t>대전</t>
        </is>
      </c>
      <c r="E183" t="inlineStr">
        <is>
          <t>소모품</t>
        </is>
      </c>
      <c r="F183" t="inlineStr">
        <is>
          <t>필터 카트리지</t>
        </is>
      </c>
      <c r="G183" s="3" t="n">
        <v>78</v>
      </c>
      <c r="H183" s="4" t="n">
        <v>22000</v>
      </c>
      <c r="I183" s="4" t="n">
        <v>1716000</v>
      </c>
      <c r="J183" t="inlineStr">
        <is>
          <t>최수아</t>
        </is>
      </c>
      <c r="K183" t="inlineStr">
        <is>
          <t>완료</t>
        </is>
      </c>
      <c r="L183" s="3" t="n">
        <v>5</v>
      </c>
    </row>
    <row r="184">
      <c r="A184" t="inlineStr">
        <is>
          <t>ORD-2026-0183</t>
        </is>
      </c>
      <c r="B184" s="2" t="n">
        <v>46168</v>
      </c>
      <c r="C184" t="inlineStr">
        <is>
          <t>삼일기계</t>
        </is>
      </c>
      <c r="D184" t="inlineStr">
        <is>
          <t>대구</t>
        </is>
      </c>
      <c r="E184" t="inlineStr">
        <is>
          <t>소모품</t>
        </is>
      </c>
      <c r="F184" t="inlineStr">
        <is>
          <t>필터 카트리지</t>
        </is>
      </c>
      <c r="G184" s="3" t="n">
        <v>33</v>
      </c>
      <c r="H184" s="4" t="n">
        <v>22000</v>
      </c>
      <c r="I184" s="4" t="n">
        <v>726000</v>
      </c>
      <c r="J184" t="inlineStr">
        <is>
          <t>이서연</t>
        </is>
      </c>
      <c r="K184" t="inlineStr">
        <is>
          <t>완료</t>
        </is>
      </c>
      <c r="L184" s="3" t="n">
        <v>5</v>
      </c>
    </row>
    <row r="185">
      <c r="A185" t="inlineStr">
        <is>
          <t>ORD-2026-0184</t>
        </is>
      </c>
      <c r="B185" s="2" t="n">
        <v>46168</v>
      </c>
      <c r="C185" t="inlineStr">
        <is>
          <t>대성물산</t>
        </is>
      </c>
      <c r="D185" t="inlineStr">
        <is>
          <t>경기</t>
        </is>
      </c>
      <c r="E185" t="inlineStr">
        <is>
          <t>소모품</t>
        </is>
      </c>
      <c r="F185" t="inlineStr">
        <is>
          <t>윤활유 20L</t>
        </is>
      </c>
      <c r="G185" s="3" t="n">
        <v>16</v>
      </c>
      <c r="H185" s="4" t="n">
        <v>38000</v>
      </c>
      <c r="I185" s="4" t="n">
        <v>608000</v>
      </c>
      <c r="J185" t="inlineStr">
        <is>
          <t>김민준</t>
        </is>
      </c>
      <c r="K185" t="inlineStr">
        <is>
          <t>완료</t>
        </is>
      </c>
      <c r="L185" s="3" t="n">
        <v>5</v>
      </c>
    </row>
    <row r="186">
      <c r="A186" t="inlineStr">
        <is>
          <t>ORD-2026-0185</t>
        </is>
      </c>
      <c r="B186" s="2" t="n">
        <v>46168</v>
      </c>
      <c r="C186" t="inlineStr">
        <is>
          <t>제일산업</t>
        </is>
      </c>
      <c r="D186" t="inlineStr">
        <is>
          <t>대전</t>
        </is>
      </c>
      <c r="E186" t="inlineStr">
        <is>
          <t>소모품</t>
        </is>
      </c>
      <c r="F186" t="inlineStr">
        <is>
          <t>필터 카트리지</t>
        </is>
      </c>
      <c r="G186" s="3" t="n">
        <v>123</v>
      </c>
      <c r="H186" s="4" t="n">
        <v>22000</v>
      </c>
      <c r="I186" s="4" t="n">
        <v>2706000</v>
      </c>
      <c r="J186" t="inlineStr">
        <is>
          <t>김민준</t>
        </is>
      </c>
      <c r="K186" t="inlineStr">
        <is>
          <t>완료</t>
        </is>
      </c>
      <c r="L186" s="3" t="n">
        <v>5</v>
      </c>
    </row>
    <row r="187">
      <c r="A187" t="inlineStr">
        <is>
          <t>ORD-2026-0186</t>
        </is>
      </c>
      <c r="B187" s="2" t="n">
        <v>46169</v>
      </c>
      <c r="C187" t="inlineStr">
        <is>
          <t>명진화학</t>
        </is>
      </c>
      <c r="D187" t="inlineStr">
        <is>
          <t>울산</t>
        </is>
      </c>
      <c r="E187" t="inlineStr">
        <is>
          <t>부품</t>
        </is>
      </c>
      <c r="F187" t="inlineStr">
        <is>
          <t>센서 모듈 S1</t>
        </is>
      </c>
      <c r="G187" s="3" t="n">
        <v>42</v>
      </c>
      <c r="H187" s="4" t="n">
        <v>85000</v>
      </c>
      <c r="I187" s="4" t="n">
        <v>3570000</v>
      </c>
      <c r="J187" t="inlineStr">
        <is>
          <t>박지훈</t>
        </is>
      </c>
      <c r="K187" t="inlineStr">
        <is>
          <t>완료</t>
        </is>
      </c>
      <c r="L187" s="3" t="n">
        <v>5</v>
      </c>
    </row>
    <row r="188">
      <c r="A188" t="inlineStr">
        <is>
          <t>ORD-2026-0187</t>
        </is>
      </c>
      <c r="B188" s="2" t="n">
        <v>46169</v>
      </c>
      <c r="C188" t="inlineStr">
        <is>
          <t>가온테크</t>
        </is>
      </c>
      <c r="D188" t="inlineStr">
        <is>
          <t>서울</t>
        </is>
      </c>
      <c r="E188" t="inlineStr">
        <is>
          <t>모듈</t>
        </is>
      </c>
      <c r="F188" t="inlineStr">
        <is>
          <t>제어 모듈 CM-100</t>
        </is>
      </c>
      <c r="G188" s="3" t="n">
        <v>2</v>
      </c>
      <c r="H188" s="4" t="n">
        <v>650000</v>
      </c>
      <c r="I188" s="4" t="n">
        <v>1300000</v>
      </c>
      <c r="J188" t="inlineStr">
        <is>
          <t>최수아</t>
        </is>
      </c>
      <c r="K188" t="inlineStr">
        <is>
          <t>완료</t>
        </is>
      </c>
      <c r="L188" s="3" t="n">
        <v>5</v>
      </c>
    </row>
    <row r="189">
      <c r="A189" t="inlineStr">
        <is>
          <t>ORD-2026-0188</t>
        </is>
      </c>
      <c r="B189" s="2" t="n">
        <v>46169</v>
      </c>
      <c r="C189" t="inlineStr">
        <is>
          <t>세진통상</t>
        </is>
      </c>
      <c r="D189" t="inlineStr">
        <is>
          <t>경기</t>
        </is>
      </c>
      <c r="E189" t="inlineStr">
        <is>
          <t>부품</t>
        </is>
      </c>
      <c r="F189" t="inlineStr">
        <is>
          <t>센서 모듈 S1</t>
        </is>
      </c>
      <c r="G189" s="3" t="n">
        <v>9</v>
      </c>
      <c r="H189" s="4" t="n">
        <v>85000</v>
      </c>
      <c r="I189" s="4" t="n">
        <v>765000</v>
      </c>
      <c r="J189" t="inlineStr">
        <is>
          <t>박지훈</t>
        </is>
      </c>
      <c r="K189" t="inlineStr">
        <is>
          <t>취소</t>
        </is>
      </c>
      <c r="L189" s="3" t="n">
        <v>5</v>
      </c>
    </row>
    <row r="190">
      <c r="A190" t="inlineStr">
        <is>
          <t>ORD-2026-0189</t>
        </is>
      </c>
      <c r="B190" s="2" t="n">
        <v>46170</v>
      </c>
      <c r="C190" t="inlineStr">
        <is>
          <t>제일산업</t>
        </is>
      </c>
      <c r="D190" t="inlineStr">
        <is>
          <t>대전</t>
        </is>
      </c>
      <c r="E190" t="inlineStr">
        <is>
          <t>모듈</t>
        </is>
      </c>
      <c r="F190" t="inlineStr">
        <is>
          <t>전원 모듈 PM-20</t>
        </is>
      </c>
      <c r="G190" s="3" t="n">
        <v>4</v>
      </c>
      <c r="H190" s="4" t="n">
        <v>380000</v>
      </c>
      <c r="I190" s="4" t="n">
        <v>1520000</v>
      </c>
      <c r="J190" t="inlineStr">
        <is>
          <t>박지훈</t>
        </is>
      </c>
      <c r="K190" t="inlineStr">
        <is>
          <t>완료</t>
        </is>
      </c>
      <c r="L190" s="3" t="n">
        <v>5</v>
      </c>
    </row>
    <row r="191">
      <c r="A191" t="inlineStr">
        <is>
          <t>ORD-2026-0190</t>
        </is>
      </c>
      <c r="B191" s="2" t="n">
        <v>46173</v>
      </c>
      <c r="C191" t="inlineStr">
        <is>
          <t>그린에너지</t>
        </is>
      </c>
      <c r="D191" t="inlineStr">
        <is>
          <t>광주</t>
        </is>
      </c>
      <c r="E191" t="inlineStr">
        <is>
          <t>부품</t>
        </is>
      </c>
      <c r="F191" t="inlineStr">
        <is>
          <t>기어 어셈블리</t>
        </is>
      </c>
      <c r="G191" s="3" t="n">
        <v>53</v>
      </c>
      <c r="H191" s="4" t="n">
        <v>120000</v>
      </c>
      <c r="I191" s="4" t="n">
        <v>6360000</v>
      </c>
      <c r="J191" t="inlineStr">
        <is>
          <t>김민준</t>
        </is>
      </c>
      <c r="K191" t="inlineStr">
        <is>
          <t>취소</t>
        </is>
      </c>
      <c r="L191" s="3" t="n">
        <v>5</v>
      </c>
    </row>
    <row r="192">
      <c r="A192" t="inlineStr">
        <is>
          <t>ORD-2026-0191</t>
        </is>
      </c>
      <c r="B192" s="2" t="n">
        <v>46173</v>
      </c>
      <c r="C192" t="inlineStr">
        <is>
          <t>제일산업</t>
        </is>
      </c>
      <c r="D192" t="inlineStr">
        <is>
          <t>대전</t>
        </is>
      </c>
      <c r="E192" t="inlineStr">
        <is>
          <t>모듈</t>
        </is>
      </c>
      <c r="F192" t="inlineStr">
        <is>
          <t>전원 모듈 PM-20</t>
        </is>
      </c>
      <c r="G192" s="3" t="n">
        <v>10</v>
      </c>
      <c r="H192" s="4" t="n">
        <v>380000</v>
      </c>
      <c r="I192" s="4" t="n">
        <v>3800000</v>
      </c>
      <c r="J192" t="inlineStr">
        <is>
          <t>박지훈</t>
        </is>
      </c>
      <c r="K192" t="inlineStr">
        <is>
          <t>완료</t>
        </is>
      </c>
      <c r="L192" s="3" t="n">
        <v>5</v>
      </c>
    </row>
    <row r="193">
      <c r="A193" t="inlineStr">
        <is>
          <t>ORD-2026-0192</t>
        </is>
      </c>
      <c r="B193" s="2" t="n">
        <v>46174</v>
      </c>
      <c r="C193" t="inlineStr">
        <is>
          <t>청운상사</t>
        </is>
      </c>
      <c r="D193" t="inlineStr">
        <is>
          <t>부산</t>
        </is>
      </c>
      <c r="E193" t="inlineStr">
        <is>
          <t>부품</t>
        </is>
      </c>
      <c r="F193" t="inlineStr">
        <is>
          <t>기어 어셈블리</t>
        </is>
      </c>
      <c r="G193" s="3" t="n">
        <v>76</v>
      </c>
      <c r="H193" s="4" t="n">
        <v>120000</v>
      </c>
      <c r="I193" s="4" t="n">
        <v>9120000</v>
      </c>
      <c r="J193" t="inlineStr">
        <is>
          <t>이서연</t>
        </is>
      </c>
      <c r="K193" t="inlineStr">
        <is>
          <t>완료</t>
        </is>
      </c>
      <c r="L193" s="3" t="n">
        <v>6</v>
      </c>
    </row>
    <row r="194">
      <c r="A194" t="inlineStr">
        <is>
          <t>ORD-2026-0193</t>
        </is>
      </c>
      <c r="B194" s="2" t="n">
        <v>46175</v>
      </c>
      <c r="C194" t="inlineStr">
        <is>
          <t>그린에너지</t>
        </is>
      </c>
      <c r="D194" t="inlineStr">
        <is>
          <t>광주</t>
        </is>
      </c>
      <c r="E194" t="inlineStr">
        <is>
          <t>소모품</t>
        </is>
      </c>
      <c r="F194" t="inlineStr">
        <is>
          <t>절연 테이프(50개)</t>
        </is>
      </c>
      <c r="G194" s="3" t="n">
        <v>23</v>
      </c>
      <c r="H194" s="4" t="n">
        <v>15000</v>
      </c>
      <c r="I194" s="4" t="n">
        <v>345000</v>
      </c>
      <c r="J194" t="inlineStr">
        <is>
          <t>김민준</t>
        </is>
      </c>
      <c r="K194" t="inlineStr">
        <is>
          <t>완료</t>
        </is>
      </c>
      <c r="L194" s="3" t="n">
        <v>6</v>
      </c>
    </row>
    <row r="195">
      <c r="A195" t="inlineStr">
        <is>
          <t>ORD-2026-0194</t>
        </is>
      </c>
      <c r="B195" s="2" t="n">
        <v>46175</v>
      </c>
      <c r="C195" t="inlineStr">
        <is>
          <t>제일산업</t>
        </is>
      </c>
      <c r="D195" t="inlineStr">
        <is>
          <t>대전</t>
        </is>
      </c>
      <c r="E195" t="inlineStr">
        <is>
          <t>모듈</t>
        </is>
      </c>
      <c r="F195" t="inlineStr">
        <is>
          <t>통신 모듈 TM-5</t>
        </is>
      </c>
      <c r="G195" s="3" t="n">
        <v>6</v>
      </c>
      <c r="H195" s="4" t="n">
        <v>290000</v>
      </c>
      <c r="I195" s="4" t="n">
        <v>1740000</v>
      </c>
      <c r="J195" t="inlineStr">
        <is>
          <t>박지훈</t>
        </is>
      </c>
      <c r="K195" t="inlineStr">
        <is>
          <t>대기</t>
        </is>
      </c>
      <c r="L195" s="3" t="n">
        <v>6</v>
      </c>
    </row>
    <row r="196">
      <c r="A196" t="inlineStr">
        <is>
          <t>ORD-2026-0195</t>
        </is>
      </c>
      <c r="B196" s="2" t="n">
        <v>46176</v>
      </c>
      <c r="C196" t="inlineStr">
        <is>
          <t>삼일기계</t>
        </is>
      </c>
      <c r="D196" t="inlineStr">
        <is>
          <t>대구</t>
        </is>
      </c>
      <c r="E196" t="inlineStr">
        <is>
          <t>부품</t>
        </is>
      </c>
      <c r="F196" t="inlineStr">
        <is>
          <t>베어링 세트</t>
        </is>
      </c>
      <c r="G196" s="3" t="n">
        <v>23</v>
      </c>
      <c r="H196" s="4" t="n">
        <v>45000</v>
      </c>
      <c r="I196" s="4" t="n">
        <v>1035000</v>
      </c>
      <c r="J196" t="inlineStr">
        <is>
          <t>최수아</t>
        </is>
      </c>
      <c r="K196" t="inlineStr">
        <is>
          <t>완료</t>
        </is>
      </c>
      <c r="L196" s="3" t="n">
        <v>6</v>
      </c>
    </row>
    <row r="197">
      <c r="A197" t="inlineStr">
        <is>
          <t>ORD-2026-0196</t>
        </is>
      </c>
      <c r="B197" s="2" t="n">
        <v>46176</v>
      </c>
      <c r="C197" t="inlineStr">
        <is>
          <t>한빛전자</t>
        </is>
      </c>
      <c r="D197" t="inlineStr">
        <is>
          <t>서울</t>
        </is>
      </c>
      <c r="E197" t="inlineStr">
        <is>
          <t>모듈</t>
        </is>
      </c>
      <c r="F197" t="inlineStr">
        <is>
          <t>전원 모듈 PM-20</t>
        </is>
      </c>
      <c r="G197" s="3" t="n">
        <v>7</v>
      </c>
      <c r="H197" s="4" t="n">
        <v>380000</v>
      </c>
      <c r="I197" s="4" t="n">
        <v>2660000</v>
      </c>
      <c r="J197" t="inlineStr">
        <is>
          <t>박지훈</t>
        </is>
      </c>
      <c r="K197" t="inlineStr">
        <is>
          <t>완료</t>
        </is>
      </c>
      <c r="L197" s="3" t="n">
        <v>6</v>
      </c>
    </row>
    <row r="198">
      <c r="A198" t="inlineStr">
        <is>
          <t>ORD-2026-0197</t>
        </is>
      </c>
      <c r="B198" s="2" t="n">
        <v>46177</v>
      </c>
      <c r="C198" t="inlineStr">
        <is>
          <t>제일산업</t>
        </is>
      </c>
      <c r="D198" t="inlineStr">
        <is>
          <t>대전</t>
        </is>
      </c>
      <c r="E198" t="inlineStr">
        <is>
          <t>모듈</t>
        </is>
      </c>
      <c r="F198" t="inlineStr">
        <is>
          <t>전원 모듈 PM-20</t>
        </is>
      </c>
      <c r="G198" s="3" t="n">
        <v>8</v>
      </c>
      <c r="H198" s="4" t="n">
        <v>380000</v>
      </c>
      <c r="I198" s="4" t="n">
        <v>3040000</v>
      </c>
      <c r="J198" t="inlineStr">
        <is>
          <t>김민준</t>
        </is>
      </c>
      <c r="K198" t="inlineStr">
        <is>
          <t>완료</t>
        </is>
      </c>
      <c r="L198" s="3" t="n">
        <v>6</v>
      </c>
    </row>
    <row r="199">
      <c r="A199" t="inlineStr">
        <is>
          <t>ORD-2026-0198</t>
        </is>
      </c>
      <c r="B199" s="2" t="n">
        <v>46177</v>
      </c>
      <c r="C199" t="inlineStr">
        <is>
          <t>대성물산</t>
        </is>
      </c>
      <c r="D199" t="inlineStr">
        <is>
          <t>경기</t>
        </is>
      </c>
      <c r="E199" t="inlineStr">
        <is>
          <t>소모품</t>
        </is>
      </c>
      <c r="F199" t="inlineStr">
        <is>
          <t>절연 테이프(50개)</t>
        </is>
      </c>
      <c r="G199" s="3" t="n">
        <v>114</v>
      </c>
      <c r="H199" s="4" t="n">
        <v>15000</v>
      </c>
      <c r="I199" s="4" t="n">
        <v>1710000</v>
      </c>
      <c r="J199" t="inlineStr">
        <is>
          <t>이서연</t>
        </is>
      </c>
      <c r="K199" t="inlineStr">
        <is>
          <t>완료</t>
        </is>
      </c>
      <c r="L199" s="3" t="n">
        <v>6</v>
      </c>
    </row>
    <row r="200">
      <c r="A200" t="inlineStr">
        <is>
          <t>ORD-2026-0199</t>
        </is>
      </c>
      <c r="B200" s="2" t="n">
        <v>46178</v>
      </c>
      <c r="C200" t="inlineStr">
        <is>
          <t>동양정밀</t>
        </is>
      </c>
      <c r="D200" t="inlineStr">
        <is>
          <t>인천</t>
        </is>
      </c>
      <c r="E200" t="inlineStr">
        <is>
          <t>서비스</t>
        </is>
      </c>
      <c r="F200" t="inlineStr">
        <is>
          <t>정기 점검</t>
        </is>
      </c>
      <c r="G200" s="3" t="n">
        <v>2</v>
      </c>
      <c r="H200" s="4" t="n">
        <v>500000</v>
      </c>
      <c r="I200" s="4" t="n">
        <v>1000000</v>
      </c>
      <c r="J200" t="inlineStr">
        <is>
          <t>이서연</t>
        </is>
      </c>
      <c r="K200" t="inlineStr">
        <is>
          <t>취소</t>
        </is>
      </c>
      <c r="L200" s="3" t="n">
        <v>6</v>
      </c>
    </row>
    <row r="201">
      <c r="A201" t="inlineStr">
        <is>
          <t>ORD-2026-0200</t>
        </is>
      </c>
      <c r="B201" s="2" t="n">
        <v>46178</v>
      </c>
      <c r="C201" t="inlineStr">
        <is>
          <t>제일산업</t>
        </is>
      </c>
      <c r="D201" t="inlineStr">
        <is>
          <t>대전</t>
        </is>
      </c>
      <c r="E201" t="inlineStr">
        <is>
          <t>모듈</t>
        </is>
      </c>
      <c r="F201" t="inlineStr">
        <is>
          <t>전원 모듈 PM-20</t>
        </is>
      </c>
      <c r="G201" s="3" t="n">
        <v>6</v>
      </c>
      <c r="H201" s="4" t="n">
        <v>380000</v>
      </c>
      <c r="I201" s="4" t="n">
        <v>2280000</v>
      </c>
      <c r="J201" t="inlineStr">
        <is>
          <t>최수아</t>
        </is>
      </c>
      <c r="K201" t="inlineStr">
        <is>
          <t>완료</t>
        </is>
      </c>
      <c r="L201" s="3" t="n">
        <v>6</v>
      </c>
    </row>
    <row r="202">
      <c r="A202" t="inlineStr">
        <is>
          <t>ORD-2026-0201</t>
        </is>
      </c>
      <c r="B202" s="2" t="n">
        <v>46179</v>
      </c>
      <c r="C202" t="inlineStr">
        <is>
          <t>가온테크</t>
        </is>
      </c>
      <c r="D202" t="inlineStr">
        <is>
          <t>서울</t>
        </is>
      </c>
      <c r="E202" t="inlineStr">
        <is>
          <t>부품</t>
        </is>
      </c>
      <c r="F202" t="inlineStr">
        <is>
          <t>베어링 세트</t>
        </is>
      </c>
      <c r="G202" s="3" t="n">
        <v>13</v>
      </c>
      <c r="H202" s="4" t="n">
        <v>45000</v>
      </c>
      <c r="I202" s="4" t="n">
        <v>585000</v>
      </c>
      <c r="J202" t="inlineStr">
        <is>
          <t>최수아</t>
        </is>
      </c>
      <c r="K202" t="inlineStr">
        <is>
          <t>완료</t>
        </is>
      </c>
      <c r="L202" s="3" t="n">
        <v>6</v>
      </c>
    </row>
    <row r="203">
      <c r="A203" t="inlineStr">
        <is>
          <t>ORD-2026-0202</t>
        </is>
      </c>
      <c r="B203" s="2" t="n">
        <v>46179</v>
      </c>
      <c r="C203" t="inlineStr">
        <is>
          <t>동양정밀</t>
        </is>
      </c>
      <c r="D203" t="inlineStr">
        <is>
          <t>인천</t>
        </is>
      </c>
      <c r="E203" t="inlineStr">
        <is>
          <t>모듈</t>
        </is>
      </c>
      <c r="F203" t="inlineStr">
        <is>
          <t>제어 모듈 CM-100</t>
        </is>
      </c>
      <c r="G203" s="3" t="n">
        <v>9</v>
      </c>
      <c r="H203" s="4" t="n">
        <v>650000</v>
      </c>
      <c r="I203" s="4" t="n">
        <v>5850000</v>
      </c>
      <c r="J203" t="inlineStr">
        <is>
          <t>김민준</t>
        </is>
      </c>
      <c r="K203" t="inlineStr">
        <is>
          <t>완료</t>
        </is>
      </c>
      <c r="L203" s="3" t="n">
        <v>6</v>
      </c>
    </row>
    <row r="204">
      <c r="A204" t="inlineStr">
        <is>
          <t>ORD-2026-0203</t>
        </is>
      </c>
      <c r="B204" s="2" t="n">
        <v>46179</v>
      </c>
      <c r="C204" t="inlineStr">
        <is>
          <t>나래시스템</t>
        </is>
      </c>
      <c r="D204" t="inlineStr">
        <is>
          <t>서울</t>
        </is>
      </c>
      <c r="E204" t="inlineStr">
        <is>
          <t>서비스</t>
        </is>
      </c>
      <c r="F204" t="inlineStr">
        <is>
          <t>설치 지원</t>
        </is>
      </c>
      <c r="G204" s="3" t="n">
        <v>1</v>
      </c>
      <c r="H204" s="4" t="n">
        <v>800000</v>
      </c>
      <c r="I204" s="4" t="n">
        <v>800000</v>
      </c>
      <c r="J204" t="inlineStr">
        <is>
          <t>박지훈</t>
        </is>
      </c>
      <c r="K204" t="inlineStr">
        <is>
          <t>완료</t>
        </is>
      </c>
      <c r="L204" s="3" t="n">
        <v>6</v>
      </c>
    </row>
    <row r="205">
      <c r="A205" t="inlineStr">
        <is>
          <t>ORD-2026-0204</t>
        </is>
      </c>
      <c r="B205" s="2" t="n">
        <v>46180</v>
      </c>
      <c r="C205" t="inlineStr">
        <is>
          <t>청운상사</t>
        </is>
      </c>
      <c r="D205" t="inlineStr">
        <is>
          <t>부산</t>
        </is>
      </c>
      <c r="E205" t="inlineStr">
        <is>
          <t>서비스</t>
        </is>
      </c>
      <c r="F205" t="inlineStr">
        <is>
          <t>설치 지원</t>
        </is>
      </c>
      <c r="G205" s="3" t="n">
        <v>1</v>
      </c>
      <c r="H205" s="4" t="n">
        <v>800000</v>
      </c>
      <c r="I205" s="4" t="n">
        <v>800000</v>
      </c>
      <c r="J205" t="inlineStr">
        <is>
          <t>최수아</t>
        </is>
      </c>
      <c r="K205" t="inlineStr">
        <is>
          <t>완료</t>
        </is>
      </c>
      <c r="L205" s="3" t="n">
        <v>6</v>
      </c>
    </row>
    <row r="206">
      <c r="A206" t="inlineStr">
        <is>
          <t>ORD-2026-0205</t>
        </is>
      </c>
      <c r="B206" s="2" t="n">
        <v>46181</v>
      </c>
      <c r="C206" t="inlineStr">
        <is>
          <t>제일산업</t>
        </is>
      </c>
      <c r="D206" t="inlineStr">
        <is>
          <t>대전</t>
        </is>
      </c>
      <c r="E206" t="inlineStr">
        <is>
          <t>모듈</t>
        </is>
      </c>
      <c r="F206" t="inlineStr">
        <is>
          <t>전원 모듈 PM-20</t>
        </is>
      </c>
      <c r="G206" s="3" t="n">
        <v>9</v>
      </c>
      <c r="H206" s="4" t="n">
        <v>380000</v>
      </c>
      <c r="I206" s="4" t="n">
        <v>3420000</v>
      </c>
      <c r="J206" t="inlineStr">
        <is>
          <t>박지훈</t>
        </is>
      </c>
      <c r="K206" t="inlineStr">
        <is>
          <t>대기</t>
        </is>
      </c>
      <c r="L206" s="3" t="n">
        <v>6</v>
      </c>
    </row>
    <row r="207">
      <c r="A207" t="inlineStr">
        <is>
          <t>ORD-2026-0206</t>
        </is>
      </c>
      <c r="B207" s="2" t="n">
        <v>46181</v>
      </c>
      <c r="C207" t="inlineStr">
        <is>
          <t>백두정공</t>
        </is>
      </c>
      <c r="D207" t="inlineStr">
        <is>
          <t>대구</t>
        </is>
      </c>
      <c r="E207" t="inlineStr">
        <is>
          <t>부품</t>
        </is>
      </c>
      <c r="F207" t="inlineStr">
        <is>
          <t>센서 모듈 S1</t>
        </is>
      </c>
      <c r="G207" s="3" t="n">
        <v>70</v>
      </c>
      <c r="H207" s="4" t="n">
        <v>85000</v>
      </c>
      <c r="I207" s="4" t="n">
        <v>5950000</v>
      </c>
      <c r="J207" t="inlineStr">
        <is>
          <t>이서연</t>
        </is>
      </c>
      <c r="K207" t="inlineStr">
        <is>
          <t>완료</t>
        </is>
      </c>
      <c r="L207" s="3" t="n">
        <v>6</v>
      </c>
    </row>
    <row r="208">
      <c r="A208" t="inlineStr">
        <is>
          <t>ORD-2026-0207</t>
        </is>
      </c>
      <c r="B208" s="2" t="n">
        <v>46181</v>
      </c>
      <c r="C208" t="inlineStr">
        <is>
          <t>가온테크</t>
        </is>
      </c>
      <c r="D208" t="inlineStr">
        <is>
          <t>서울</t>
        </is>
      </c>
      <c r="E208" t="inlineStr">
        <is>
          <t>부품</t>
        </is>
      </c>
      <c r="F208" t="inlineStr">
        <is>
          <t>기어 어셈블리</t>
        </is>
      </c>
      <c r="G208" s="3" t="n">
        <v>65</v>
      </c>
      <c r="H208" s="4" t="n">
        <v>120000</v>
      </c>
      <c r="I208" s="4" t="n">
        <v>7800000</v>
      </c>
      <c r="J208" t="inlineStr">
        <is>
          <t>최수아</t>
        </is>
      </c>
      <c r="K208" t="inlineStr">
        <is>
          <t>완료</t>
        </is>
      </c>
      <c r="L208" s="3" t="n">
        <v>6</v>
      </c>
    </row>
    <row r="209">
      <c r="A209" t="inlineStr">
        <is>
          <t>ORD-2026-0208</t>
        </is>
      </c>
      <c r="B209" s="2" t="n">
        <v>46182</v>
      </c>
      <c r="C209" t="inlineStr">
        <is>
          <t>제일산업</t>
        </is>
      </c>
      <c r="D209" t="inlineStr">
        <is>
          <t>대전</t>
        </is>
      </c>
      <c r="E209" t="inlineStr">
        <is>
          <t>서비스</t>
        </is>
      </c>
      <c r="F209" t="inlineStr">
        <is>
          <t>기술 교육(1일)</t>
        </is>
      </c>
      <c r="G209" s="3" t="n">
        <v>3</v>
      </c>
      <c r="H209" s="4" t="n">
        <v>1200000</v>
      </c>
      <c r="I209" s="4" t="n">
        <v>3600000</v>
      </c>
      <c r="J209" t="inlineStr">
        <is>
          <t>정우진</t>
        </is>
      </c>
      <c r="K209" t="inlineStr">
        <is>
          <t>취소</t>
        </is>
      </c>
      <c r="L209" s="3" t="n">
        <v>6</v>
      </c>
    </row>
    <row r="210">
      <c r="A210" t="inlineStr">
        <is>
          <t>ORD-2026-0209</t>
        </is>
      </c>
      <c r="B210" s="2" t="n">
        <v>46183</v>
      </c>
      <c r="C210" t="inlineStr">
        <is>
          <t>한결소재</t>
        </is>
      </c>
      <c r="D210" t="inlineStr">
        <is>
          <t>경기</t>
        </is>
      </c>
      <c r="E210" t="inlineStr">
        <is>
          <t>소모품</t>
        </is>
      </c>
      <c r="F210" t="inlineStr">
        <is>
          <t>필터 카트리지</t>
        </is>
      </c>
      <c r="G210" s="3" t="n">
        <v>42</v>
      </c>
      <c r="H210" s="4" t="n">
        <v>22000</v>
      </c>
      <c r="I210" s="4" t="n">
        <v>924000</v>
      </c>
      <c r="J210" t="inlineStr">
        <is>
          <t>정우진</t>
        </is>
      </c>
      <c r="K210" t="inlineStr">
        <is>
          <t>완료</t>
        </is>
      </c>
      <c r="L210" s="3" t="n">
        <v>6</v>
      </c>
    </row>
    <row r="211">
      <c r="A211" t="inlineStr">
        <is>
          <t>ORD-2026-0210</t>
        </is>
      </c>
      <c r="B211" s="2" t="n">
        <v>46183</v>
      </c>
      <c r="C211" t="inlineStr">
        <is>
          <t>푸른자동화</t>
        </is>
      </c>
      <c r="D211" t="inlineStr">
        <is>
          <t>광주</t>
        </is>
      </c>
      <c r="E211" t="inlineStr">
        <is>
          <t>모듈</t>
        </is>
      </c>
      <c r="F211" t="inlineStr">
        <is>
          <t>전원 모듈 PM-20</t>
        </is>
      </c>
      <c r="G211" s="3" t="n">
        <v>1</v>
      </c>
      <c r="H211" s="4" t="n">
        <v>380000</v>
      </c>
      <c r="I211" s="4" t="n">
        <v>380000</v>
      </c>
      <c r="J211" t="inlineStr">
        <is>
          <t>최수아</t>
        </is>
      </c>
      <c r="K211" t="inlineStr">
        <is>
          <t>완료</t>
        </is>
      </c>
      <c r="L211" s="3" t="n">
        <v>6</v>
      </c>
    </row>
    <row r="212">
      <c r="A212" t="inlineStr">
        <is>
          <t>ORD-2026-0211</t>
        </is>
      </c>
      <c r="B212" s="2" t="n">
        <v>46183</v>
      </c>
      <c r="C212" t="inlineStr">
        <is>
          <t>삼일기계</t>
        </is>
      </c>
      <c r="D212" t="inlineStr">
        <is>
          <t>대구</t>
        </is>
      </c>
      <c r="E212" t="inlineStr">
        <is>
          <t>서비스</t>
        </is>
      </c>
      <c r="F212" t="inlineStr">
        <is>
          <t>기술 교육(1일)</t>
        </is>
      </c>
      <c r="G212" s="3" t="n">
        <v>1</v>
      </c>
      <c r="H212" s="4" t="n">
        <v>1200000</v>
      </c>
      <c r="I212" s="4" t="n">
        <v>1200000</v>
      </c>
      <c r="J212" t="inlineStr">
        <is>
          <t>이서연</t>
        </is>
      </c>
      <c r="K212" t="inlineStr">
        <is>
          <t>완료</t>
        </is>
      </c>
      <c r="L212" s="3" t="n">
        <v>6</v>
      </c>
    </row>
    <row r="213">
      <c r="A213" t="inlineStr">
        <is>
          <t>ORD-2026-0212</t>
        </is>
      </c>
      <c r="B213" s="2" t="n">
        <v>46184</v>
      </c>
      <c r="C213" t="inlineStr">
        <is>
          <t>동양정밀</t>
        </is>
      </c>
      <c r="D213" t="inlineStr">
        <is>
          <t>인천</t>
        </is>
      </c>
      <c r="E213" t="inlineStr">
        <is>
          <t>부품</t>
        </is>
      </c>
      <c r="F213" t="inlineStr">
        <is>
          <t>센서 모듈 S1</t>
        </is>
      </c>
      <c r="G213" s="3" t="n">
        <v>55</v>
      </c>
      <c r="H213" s="4" t="n">
        <v>85000</v>
      </c>
      <c r="I213" s="4" t="n">
        <v>4675000</v>
      </c>
      <c r="J213" t="inlineStr">
        <is>
          <t>박지훈</t>
        </is>
      </c>
      <c r="K213" t="inlineStr">
        <is>
          <t>완료</t>
        </is>
      </c>
      <c r="L213" s="3" t="n">
        <v>6</v>
      </c>
    </row>
    <row r="214">
      <c r="A214" t="inlineStr">
        <is>
          <t>ORD-2026-0213</t>
        </is>
      </c>
      <c r="B214" s="2" t="n">
        <v>46184</v>
      </c>
      <c r="C214" t="inlineStr">
        <is>
          <t>대성물산</t>
        </is>
      </c>
      <c r="D214" t="inlineStr">
        <is>
          <t>경기</t>
        </is>
      </c>
      <c r="E214" t="inlineStr">
        <is>
          <t>모듈</t>
        </is>
      </c>
      <c r="F214" t="inlineStr">
        <is>
          <t>통신 모듈 TM-5</t>
        </is>
      </c>
      <c r="G214" s="3" t="n">
        <v>8</v>
      </c>
      <c r="H214" s="4" t="n">
        <v>290000</v>
      </c>
      <c r="I214" s="4" t="n">
        <v>2320000</v>
      </c>
      <c r="J214" t="inlineStr">
        <is>
          <t>최수아</t>
        </is>
      </c>
      <c r="K214" t="inlineStr">
        <is>
          <t>완료</t>
        </is>
      </c>
      <c r="L214" s="3" t="n">
        <v>6</v>
      </c>
    </row>
    <row r="215">
      <c r="A215" t="inlineStr">
        <is>
          <t>ORD-2026-0214</t>
        </is>
      </c>
      <c r="B215" s="2" t="n">
        <v>46184</v>
      </c>
      <c r="C215" t="inlineStr">
        <is>
          <t>제일산업</t>
        </is>
      </c>
      <c r="D215" t="inlineStr">
        <is>
          <t>대전</t>
        </is>
      </c>
      <c r="E215" t="inlineStr">
        <is>
          <t>소모품</t>
        </is>
      </c>
      <c r="F215" t="inlineStr">
        <is>
          <t>절연 테이프(50개)</t>
        </is>
      </c>
      <c r="G215" s="3" t="n">
        <v>135</v>
      </c>
      <c r="H215" s="4" t="n">
        <v>15000</v>
      </c>
      <c r="I215" s="4" t="n">
        <v>2025000</v>
      </c>
      <c r="J215" t="inlineStr">
        <is>
          <t>김민준</t>
        </is>
      </c>
      <c r="K215" t="inlineStr">
        <is>
          <t>완료</t>
        </is>
      </c>
      <c r="L215" s="3" t="n">
        <v>6</v>
      </c>
    </row>
    <row r="216">
      <c r="A216" t="inlineStr">
        <is>
          <t>ORD-2026-0215</t>
        </is>
      </c>
      <c r="B216" s="2" t="n">
        <v>46185</v>
      </c>
      <c r="C216" t="inlineStr">
        <is>
          <t>유성전기</t>
        </is>
      </c>
      <c r="D216" t="inlineStr">
        <is>
          <t>대전</t>
        </is>
      </c>
      <c r="E216" t="inlineStr">
        <is>
          <t>소모품</t>
        </is>
      </c>
      <c r="F216" t="inlineStr">
        <is>
          <t>필터 카트리지</t>
        </is>
      </c>
      <c r="G216" s="3" t="n">
        <v>58</v>
      </c>
      <c r="H216" s="4" t="n">
        <v>22000</v>
      </c>
      <c r="I216" s="4" t="n">
        <v>1276000</v>
      </c>
      <c r="J216" t="inlineStr">
        <is>
          <t>정우진</t>
        </is>
      </c>
      <c r="K216" t="inlineStr">
        <is>
          <t>완료</t>
        </is>
      </c>
      <c r="L216" s="3" t="n">
        <v>6</v>
      </c>
    </row>
    <row r="217">
      <c r="A217" t="inlineStr">
        <is>
          <t>ORD-2026-0216</t>
        </is>
      </c>
      <c r="B217" s="2" t="n">
        <v>46185</v>
      </c>
      <c r="C217" t="inlineStr">
        <is>
          <t>삼일기계</t>
        </is>
      </c>
      <c r="D217" t="inlineStr">
        <is>
          <t>대구</t>
        </is>
      </c>
      <c r="E217" t="inlineStr">
        <is>
          <t>소모품</t>
        </is>
      </c>
      <c r="F217" t="inlineStr">
        <is>
          <t>윤활유 20L</t>
        </is>
      </c>
      <c r="G217" s="3" t="n">
        <v>111</v>
      </c>
      <c r="H217" s="4" t="n">
        <v>38000</v>
      </c>
      <c r="I217" s="4" t="n">
        <v>4218000</v>
      </c>
      <c r="J217" t="inlineStr">
        <is>
          <t>최수아</t>
        </is>
      </c>
      <c r="K217" t="inlineStr">
        <is>
          <t>완료</t>
        </is>
      </c>
      <c r="L217" s="3" t="n">
        <v>6</v>
      </c>
    </row>
    <row r="218">
      <c r="A218" t="inlineStr">
        <is>
          <t>ORD-2026-0217</t>
        </is>
      </c>
      <c r="B218" s="2" t="n">
        <v>46186</v>
      </c>
      <c r="C218" t="inlineStr">
        <is>
          <t>신영유통</t>
        </is>
      </c>
      <c r="D218" t="inlineStr">
        <is>
          <t>인천</t>
        </is>
      </c>
      <c r="E218" t="inlineStr">
        <is>
          <t>소모품</t>
        </is>
      </c>
      <c r="F218" t="inlineStr">
        <is>
          <t>절연 테이프(50개)</t>
        </is>
      </c>
      <c r="G218" s="3" t="n">
        <v>144</v>
      </c>
      <c r="H218" s="4" t="n">
        <v>15000</v>
      </c>
      <c r="I218" s="4" t="n">
        <v>2160000</v>
      </c>
      <c r="J218" t="inlineStr">
        <is>
          <t>정우진</t>
        </is>
      </c>
      <c r="K218" t="inlineStr">
        <is>
          <t>완료</t>
        </is>
      </c>
      <c r="L218" s="3" t="n">
        <v>6</v>
      </c>
    </row>
    <row r="219">
      <c r="A219" t="inlineStr">
        <is>
          <t>ORD-2026-0218</t>
        </is>
      </c>
      <c r="B219" s="2" t="n">
        <v>46186</v>
      </c>
      <c r="C219" t="inlineStr">
        <is>
          <t>가온테크</t>
        </is>
      </c>
      <c r="D219" t="inlineStr">
        <is>
          <t>서울</t>
        </is>
      </c>
      <c r="E219" t="inlineStr">
        <is>
          <t>서비스</t>
        </is>
      </c>
      <c r="F219" t="inlineStr">
        <is>
          <t>기술 교육(1일)</t>
        </is>
      </c>
      <c r="G219" s="3" t="n">
        <v>1</v>
      </c>
      <c r="H219" s="4" t="n">
        <v>1200000</v>
      </c>
      <c r="I219" s="4" t="n">
        <v>1200000</v>
      </c>
      <c r="J219" t="inlineStr">
        <is>
          <t>김민준</t>
        </is>
      </c>
      <c r="K219" t="inlineStr">
        <is>
          <t>완료</t>
        </is>
      </c>
      <c r="L219" s="3" t="n">
        <v>6</v>
      </c>
    </row>
    <row r="220">
      <c r="A220" t="inlineStr">
        <is>
          <t>ORD-2026-0219</t>
        </is>
      </c>
      <c r="B220" s="2" t="n">
        <v>46186</v>
      </c>
      <c r="C220" t="inlineStr">
        <is>
          <t>한결소재</t>
        </is>
      </c>
      <c r="D220" t="inlineStr">
        <is>
          <t>경기</t>
        </is>
      </c>
      <c r="E220" t="inlineStr">
        <is>
          <t>소모품</t>
        </is>
      </c>
      <c r="F220" t="inlineStr">
        <is>
          <t>절연 테이프(50개)</t>
        </is>
      </c>
      <c r="G220" s="3" t="n">
        <v>119</v>
      </c>
      <c r="H220" s="4" t="n">
        <v>15000</v>
      </c>
      <c r="I220" s="4" t="n">
        <v>1785000</v>
      </c>
      <c r="J220" t="inlineStr">
        <is>
          <t>김민준</t>
        </is>
      </c>
      <c r="K220" t="inlineStr">
        <is>
          <t>완료</t>
        </is>
      </c>
      <c r="L220" s="3" t="n">
        <v>6</v>
      </c>
    </row>
    <row r="221">
      <c r="A221" t="inlineStr">
        <is>
          <t>ORD-2026-0220</t>
        </is>
      </c>
      <c r="B221" s="2" t="n">
        <v>46187</v>
      </c>
      <c r="C221" t="inlineStr">
        <is>
          <t>삼일기계</t>
        </is>
      </c>
      <c r="D221" t="inlineStr">
        <is>
          <t>대구</t>
        </is>
      </c>
      <c r="E221" t="inlineStr">
        <is>
          <t>서비스</t>
        </is>
      </c>
      <c r="F221" t="inlineStr">
        <is>
          <t>설치 지원</t>
        </is>
      </c>
      <c r="G221" s="3" t="n">
        <v>3</v>
      </c>
      <c r="H221" s="4" t="n">
        <v>800000</v>
      </c>
      <c r="I221" s="4" t="n">
        <v>2400000</v>
      </c>
      <c r="J221" t="inlineStr">
        <is>
          <t>박지훈</t>
        </is>
      </c>
      <c r="K221" t="inlineStr">
        <is>
          <t>완료</t>
        </is>
      </c>
      <c r="L221" s="3" t="n">
        <v>6</v>
      </c>
    </row>
    <row r="222">
      <c r="A222" t="inlineStr">
        <is>
          <t>ORD-2026-0221</t>
        </is>
      </c>
      <c r="B222" s="2" t="n">
        <v>46187</v>
      </c>
      <c r="C222" t="inlineStr">
        <is>
          <t>삼일기계</t>
        </is>
      </c>
      <c r="D222" t="inlineStr">
        <is>
          <t>대구</t>
        </is>
      </c>
      <c r="E222" t="inlineStr">
        <is>
          <t>모듈</t>
        </is>
      </c>
      <c r="F222" t="inlineStr">
        <is>
          <t>통신 모듈 TM-5</t>
        </is>
      </c>
      <c r="G222" s="3" t="n">
        <v>9</v>
      </c>
      <c r="H222" s="4" t="n">
        <v>290000</v>
      </c>
      <c r="I222" s="4" t="n">
        <v>2610000</v>
      </c>
      <c r="J222" t="inlineStr">
        <is>
          <t>정우진</t>
        </is>
      </c>
      <c r="K222" t="inlineStr">
        <is>
          <t>완료</t>
        </is>
      </c>
      <c r="L222" s="3" t="n">
        <v>6</v>
      </c>
    </row>
    <row r="223">
      <c r="A223" t="inlineStr">
        <is>
          <t>ORD-2026-0222</t>
        </is>
      </c>
      <c r="B223" s="2" t="n">
        <v>46188</v>
      </c>
      <c r="C223" t="inlineStr">
        <is>
          <t>푸른자동화</t>
        </is>
      </c>
      <c r="D223" t="inlineStr">
        <is>
          <t>광주</t>
        </is>
      </c>
      <c r="E223" t="inlineStr">
        <is>
          <t>부품</t>
        </is>
      </c>
      <c r="F223" t="inlineStr">
        <is>
          <t>기어 어셈블리</t>
        </is>
      </c>
      <c r="G223" s="3" t="n">
        <v>63</v>
      </c>
      <c r="H223" s="4" t="n">
        <v>120000</v>
      </c>
      <c r="I223" s="4" t="n">
        <v>7560000</v>
      </c>
      <c r="J223" t="inlineStr">
        <is>
          <t>김민준</t>
        </is>
      </c>
      <c r="K223" t="inlineStr">
        <is>
          <t>취소</t>
        </is>
      </c>
      <c r="L223" s="3" t="n">
        <v>6</v>
      </c>
    </row>
    <row r="224">
      <c r="A224" t="inlineStr">
        <is>
          <t>ORD-2026-0223</t>
        </is>
      </c>
      <c r="B224" s="2" t="n">
        <v>46188</v>
      </c>
      <c r="C224" t="inlineStr">
        <is>
          <t>삼일기계</t>
        </is>
      </c>
      <c r="D224" t="inlineStr">
        <is>
          <t>대구</t>
        </is>
      </c>
      <c r="E224" t="inlineStr">
        <is>
          <t>모듈</t>
        </is>
      </c>
      <c r="F224" t="inlineStr">
        <is>
          <t>통신 모듈 TM-5</t>
        </is>
      </c>
      <c r="G224" s="3" t="n">
        <v>4</v>
      </c>
      <c r="H224" s="4" t="n">
        <v>290000</v>
      </c>
      <c r="I224" s="4" t="n">
        <v>1160000</v>
      </c>
      <c r="J224" t="inlineStr">
        <is>
          <t>정우진</t>
        </is>
      </c>
      <c r="K224" t="inlineStr">
        <is>
          <t>대기</t>
        </is>
      </c>
      <c r="L224" s="3" t="n">
        <v>6</v>
      </c>
    </row>
    <row r="225">
      <c r="A225" t="inlineStr">
        <is>
          <t>ORD-2026-0224</t>
        </is>
      </c>
      <c r="B225" s="2" t="n">
        <v>46189</v>
      </c>
      <c r="C225" t="inlineStr">
        <is>
          <t>제일산업</t>
        </is>
      </c>
      <c r="D225" t="inlineStr">
        <is>
          <t>대전</t>
        </is>
      </c>
      <c r="E225" t="inlineStr">
        <is>
          <t>서비스</t>
        </is>
      </c>
      <c r="F225" t="inlineStr">
        <is>
          <t>정기 점검</t>
        </is>
      </c>
      <c r="G225" s="3" t="n">
        <v>1</v>
      </c>
      <c r="H225" s="4" t="n">
        <v>500000</v>
      </c>
      <c r="I225" s="4" t="n">
        <v>500000</v>
      </c>
      <c r="J225" t="inlineStr">
        <is>
          <t>최수아</t>
        </is>
      </c>
      <c r="K225" t="inlineStr">
        <is>
          <t>완료</t>
        </is>
      </c>
      <c r="L225" s="3" t="n">
        <v>6</v>
      </c>
    </row>
    <row r="226">
      <c r="A226" t="inlineStr">
        <is>
          <t>ORD-2026-0225</t>
        </is>
      </c>
      <c r="B226" s="2" t="n">
        <v>46190</v>
      </c>
      <c r="C226" t="inlineStr">
        <is>
          <t>푸른자동화</t>
        </is>
      </c>
      <c r="D226" t="inlineStr">
        <is>
          <t>광주</t>
        </is>
      </c>
      <c r="E226" t="inlineStr">
        <is>
          <t>서비스</t>
        </is>
      </c>
      <c r="F226" t="inlineStr">
        <is>
          <t>설치 지원</t>
        </is>
      </c>
      <c r="G226" s="3" t="n">
        <v>2</v>
      </c>
      <c r="H226" s="4" t="n">
        <v>800000</v>
      </c>
      <c r="I226" s="4" t="n">
        <v>1600000</v>
      </c>
      <c r="J226" t="inlineStr">
        <is>
          <t>최수아</t>
        </is>
      </c>
      <c r="K226" t="inlineStr">
        <is>
          <t>완료</t>
        </is>
      </c>
      <c r="L226" s="3" t="n">
        <v>6</v>
      </c>
    </row>
    <row r="227">
      <c r="A227" t="inlineStr">
        <is>
          <t>ORD-2026-0226</t>
        </is>
      </c>
      <c r="B227" s="2" t="n">
        <v>46191</v>
      </c>
      <c r="C227" t="inlineStr">
        <is>
          <t>제일산업</t>
        </is>
      </c>
      <c r="D227" t="inlineStr">
        <is>
          <t>대전</t>
        </is>
      </c>
      <c r="E227" t="inlineStr">
        <is>
          <t>모듈</t>
        </is>
      </c>
      <c r="F227" t="inlineStr">
        <is>
          <t>전원 모듈 PM-20</t>
        </is>
      </c>
      <c r="G227" s="3" t="n">
        <v>12</v>
      </c>
      <c r="H227" s="4" t="n">
        <v>380000</v>
      </c>
      <c r="I227" s="4" t="n">
        <v>4560000</v>
      </c>
      <c r="J227" t="inlineStr">
        <is>
          <t>정우진</t>
        </is>
      </c>
      <c r="K227" t="inlineStr">
        <is>
          <t>완료</t>
        </is>
      </c>
      <c r="L227" s="3" t="n">
        <v>6</v>
      </c>
    </row>
    <row r="228">
      <c r="A228" t="inlineStr">
        <is>
          <t>ORD-2026-0227</t>
        </is>
      </c>
      <c r="B228" s="2" t="n">
        <v>46194</v>
      </c>
      <c r="C228" t="inlineStr">
        <is>
          <t>세진통상</t>
        </is>
      </c>
      <c r="D228" t="inlineStr">
        <is>
          <t>경기</t>
        </is>
      </c>
      <c r="E228" t="inlineStr">
        <is>
          <t>모듈</t>
        </is>
      </c>
      <c r="F228" t="inlineStr">
        <is>
          <t>통신 모듈 TM-5</t>
        </is>
      </c>
      <c r="G228" s="3" t="n">
        <v>9</v>
      </c>
      <c r="H228" s="4" t="n">
        <v>290000</v>
      </c>
      <c r="I228" s="4" t="n">
        <v>2610000</v>
      </c>
      <c r="J228" t="inlineStr">
        <is>
          <t>최수아</t>
        </is>
      </c>
      <c r="K228" t="inlineStr">
        <is>
          <t>완료</t>
        </is>
      </c>
      <c r="L228" s="3" t="n">
        <v>6</v>
      </c>
    </row>
    <row r="229">
      <c r="A229" t="inlineStr">
        <is>
          <t>ORD-2026-0228</t>
        </is>
      </c>
      <c r="B229" s="2" t="n">
        <v>46195</v>
      </c>
      <c r="C229" t="inlineStr">
        <is>
          <t>우주케미칼</t>
        </is>
      </c>
      <c r="D229" t="inlineStr">
        <is>
          <t>울산</t>
        </is>
      </c>
      <c r="E229" t="inlineStr">
        <is>
          <t>부품</t>
        </is>
      </c>
      <c r="F229" t="inlineStr">
        <is>
          <t>베어링 세트</t>
        </is>
      </c>
      <c r="G229" s="3" t="n">
        <v>38</v>
      </c>
      <c r="H229" s="4" t="n">
        <v>45000</v>
      </c>
      <c r="I229" s="4" t="n">
        <v>1710000</v>
      </c>
      <c r="J229" t="inlineStr">
        <is>
          <t>정우진</t>
        </is>
      </c>
      <c r="K229" t="inlineStr">
        <is>
          <t>완료</t>
        </is>
      </c>
      <c r="L229" s="3" t="n">
        <v>6</v>
      </c>
    </row>
    <row r="230">
      <c r="A230" t="inlineStr">
        <is>
          <t>ORD-2026-0229</t>
        </is>
      </c>
      <c r="B230" s="2" t="n">
        <v>46196</v>
      </c>
      <c r="C230" t="inlineStr">
        <is>
          <t>청운상사</t>
        </is>
      </c>
      <c r="D230" t="inlineStr">
        <is>
          <t>부산</t>
        </is>
      </c>
      <c r="E230" t="inlineStr">
        <is>
          <t>부품</t>
        </is>
      </c>
      <c r="F230" t="inlineStr">
        <is>
          <t>기어 어셈블리</t>
        </is>
      </c>
      <c r="G230" s="3" t="n">
        <v>7</v>
      </c>
      <c r="H230" s="4" t="n">
        <v>120000</v>
      </c>
      <c r="I230" s="4" t="n">
        <v>840000</v>
      </c>
      <c r="J230" t="inlineStr">
        <is>
          <t>김민준</t>
        </is>
      </c>
      <c r="K230" t="inlineStr">
        <is>
          <t>완료</t>
        </is>
      </c>
      <c r="L230" s="3" t="n">
        <v>6</v>
      </c>
    </row>
    <row r="231">
      <c r="A231" t="inlineStr">
        <is>
          <t>ORD-2026-0230</t>
        </is>
      </c>
      <c r="B231" s="2" t="n">
        <v>46197</v>
      </c>
      <c r="C231" t="inlineStr">
        <is>
          <t>두리물류</t>
        </is>
      </c>
      <c r="D231" t="inlineStr">
        <is>
          <t>경기</t>
        </is>
      </c>
      <c r="E231" t="inlineStr">
        <is>
          <t>소모품</t>
        </is>
      </c>
      <c r="F231" t="inlineStr">
        <is>
          <t>윤활유 20L</t>
        </is>
      </c>
      <c r="G231" s="3" t="n">
        <v>200</v>
      </c>
      <c r="H231" s="4" t="n">
        <v>38000</v>
      </c>
      <c r="I231" s="4" t="n">
        <v>7600000</v>
      </c>
      <c r="J231" t="inlineStr">
        <is>
          <t>최수아</t>
        </is>
      </c>
      <c r="K231" t="inlineStr">
        <is>
          <t>완료</t>
        </is>
      </c>
      <c r="L231" s="3" t="n">
        <v>6</v>
      </c>
    </row>
    <row r="232">
      <c r="A232" t="inlineStr">
        <is>
          <t>ORD-2026-0231</t>
        </is>
      </c>
      <c r="B232" s="2" t="n">
        <v>46197</v>
      </c>
      <c r="C232" t="inlineStr">
        <is>
          <t>태양금속</t>
        </is>
      </c>
      <c r="D232" t="inlineStr">
        <is>
          <t>부산</t>
        </is>
      </c>
      <c r="E232" t="inlineStr">
        <is>
          <t>서비스</t>
        </is>
      </c>
      <c r="F232" t="inlineStr">
        <is>
          <t>정기 점검</t>
        </is>
      </c>
      <c r="G232" s="3" t="n">
        <v>1</v>
      </c>
      <c r="H232" s="4" t="n">
        <v>500000</v>
      </c>
      <c r="I232" s="4" t="n">
        <v>500000</v>
      </c>
      <c r="J232" t="inlineStr">
        <is>
          <t>박지훈</t>
        </is>
      </c>
      <c r="K232" t="inlineStr">
        <is>
          <t>취소</t>
        </is>
      </c>
      <c r="L232" s="3" t="n">
        <v>6</v>
      </c>
    </row>
    <row r="233">
      <c r="A233" t="inlineStr">
        <is>
          <t>ORD-2026-0232</t>
        </is>
      </c>
      <c r="B233" s="2" t="n">
        <v>46198</v>
      </c>
      <c r="C233" t="inlineStr">
        <is>
          <t>청운상사</t>
        </is>
      </c>
      <c r="D233" t="inlineStr">
        <is>
          <t>부산</t>
        </is>
      </c>
      <c r="E233" t="inlineStr">
        <is>
          <t>서비스</t>
        </is>
      </c>
      <c r="F233" t="inlineStr">
        <is>
          <t>기술 교육(1일)</t>
        </is>
      </c>
      <c r="G233" s="3" t="n">
        <v>2</v>
      </c>
      <c r="H233" s="4" t="n">
        <v>1200000</v>
      </c>
      <c r="I233" s="4" t="n">
        <v>2400000</v>
      </c>
      <c r="J233" t="inlineStr">
        <is>
          <t>김민준</t>
        </is>
      </c>
      <c r="K233" t="inlineStr">
        <is>
          <t>완료</t>
        </is>
      </c>
      <c r="L233" s="3" t="n">
        <v>6</v>
      </c>
    </row>
    <row r="234">
      <c r="A234" t="inlineStr">
        <is>
          <t>ORD-2026-0233</t>
        </is>
      </c>
      <c r="B234" s="2" t="n">
        <v>46199</v>
      </c>
      <c r="C234" t="inlineStr">
        <is>
          <t>미래테크</t>
        </is>
      </c>
      <c r="D234" t="inlineStr">
        <is>
          <t>서울</t>
        </is>
      </c>
      <c r="E234" t="inlineStr">
        <is>
          <t>모듈</t>
        </is>
      </c>
      <c r="F234" t="inlineStr">
        <is>
          <t>통신 모듈 TM-5</t>
        </is>
      </c>
      <c r="G234" s="3" t="n">
        <v>6</v>
      </c>
      <c r="H234" s="4" t="n">
        <v>290000</v>
      </c>
      <c r="I234" s="4" t="n">
        <v>1740000</v>
      </c>
      <c r="J234" t="inlineStr">
        <is>
          <t>정우진</t>
        </is>
      </c>
      <c r="K234" t="inlineStr">
        <is>
          <t>취소</t>
        </is>
      </c>
      <c r="L234" s="3" t="n">
        <v>6</v>
      </c>
    </row>
    <row r="235">
      <c r="A235" t="inlineStr">
        <is>
          <t>ORD-2026-0234</t>
        </is>
      </c>
      <c r="B235" s="2" t="n">
        <v>46201</v>
      </c>
      <c r="C235" t="inlineStr">
        <is>
          <t>가온테크</t>
        </is>
      </c>
      <c r="D235" t="inlineStr">
        <is>
          <t>서울</t>
        </is>
      </c>
      <c r="E235" t="inlineStr">
        <is>
          <t>서비스</t>
        </is>
      </c>
      <c r="F235" t="inlineStr">
        <is>
          <t>정기 점검</t>
        </is>
      </c>
      <c r="G235" s="3" t="n">
        <v>2</v>
      </c>
      <c r="H235" s="4" t="n">
        <v>500000</v>
      </c>
      <c r="I235" s="4" t="n">
        <v>1000000</v>
      </c>
      <c r="J235" t="inlineStr">
        <is>
          <t>이서연</t>
        </is>
      </c>
      <c r="K235" t="inlineStr">
        <is>
          <t>완료</t>
        </is>
      </c>
      <c r="L235" s="3" t="n">
        <v>6</v>
      </c>
    </row>
    <row r="236">
      <c r="A236" t="inlineStr">
        <is>
          <t>ORD-2026-0235</t>
        </is>
      </c>
      <c r="B236" s="2" t="n">
        <v>46201</v>
      </c>
      <c r="C236" t="inlineStr">
        <is>
          <t>동양정밀</t>
        </is>
      </c>
      <c r="D236" t="inlineStr">
        <is>
          <t>인천</t>
        </is>
      </c>
      <c r="E236" t="inlineStr">
        <is>
          <t>모듈</t>
        </is>
      </c>
      <c r="F236" t="inlineStr">
        <is>
          <t>제어 모듈 CM-100</t>
        </is>
      </c>
      <c r="G236" s="3" t="n">
        <v>3</v>
      </c>
      <c r="H236" s="4" t="n">
        <v>650000</v>
      </c>
      <c r="I236" s="4" t="n">
        <v>1950000</v>
      </c>
      <c r="J236" t="inlineStr">
        <is>
          <t>이서연</t>
        </is>
      </c>
      <c r="K236" t="inlineStr">
        <is>
          <t>완료</t>
        </is>
      </c>
      <c r="L236" s="3" t="n">
        <v>6</v>
      </c>
    </row>
    <row r="237">
      <c r="A237" t="inlineStr">
        <is>
          <t>ORD-2026-0236</t>
        </is>
      </c>
      <c r="B237" s="2" t="n">
        <v>46201</v>
      </c>
      <c r="C237" t="inlineStr">
        <is>
          <t>동양정밀</t>
        </is>
      </c>
      <c r="D237" t="inlineStr">
        <is>
          <t>인천</t>
        </is>
      </c>
      <c r="E237" t="inlineStr">
        <is>
          <t>서비스</t>
        </is>
      </c>
      <c r="F237" t="inlineStr">
        <is>
          <t>설치 지원</t>
        </is>
      </c>
      <c r="G237" s="3" t="n">
        <v>3</v>
      </c>
      <c r="H237" s="4" t="n">
        <v>800000</v>
      </c>
      <c r="I237" s="4" t="n">
        <v>2400000</v>
      </c>
      <c r="J237" t="inlineStr">
        <is>
          <t>김민준</t>
        </is>
      </c>
      <c r="K237" t="inlineStr">
        <is>
          <t>완료</t>
        </is>
      </c>
      <c r="L237" s="3" t="n">
        <v>6</v>
      </c>
    </row>
    <row r="238">
      <c r="A238" t="inlineStr">
        <is>
          <t>ORD-2026-0237</t>
        </is>
      </c>
      <c r="B238" s="2" t="n">
        <v>46201</v>
      </c>
      <c r="C238" t="inlineStr">
        <is>
          <t>한빛전자</t>
        </is>
      </c>
      <c r="D238" t="inlineStr">
        <is>
          <t>서울</t>
        </is>
      </c>
      <c r="E238" t="inlineStr">
        <is>
          <t>소모품</t>
        </is>
      </c>
      <c r="F238" t="inlineStr">
        <is>
          <t>윤활유 20L</t>
        </is>
      </c>
      <c r="G238" s="3" t="n">
        <v>163</v>
      </c>
      <c r="H238" s="4" t="n">
        <v>38000</v>
      </c>
      <c r="I238" s="4" t="n">
        <v>6194000</v>
      </c>
      <c r="J238" t="inlineStr">
        <is>
          <t>이서연</t>
        </is>
      </c>
      <c r="K238" t="inlineStr">
        <is>
          <t>완료</t>
        </is>
      </c>
      <c r="L238" s="3" t="n">
        <v>6</v>
      </c>
    </row>
    <row r="239">
      <c r="A239" t="inlineStr">
        <is>
          <t>ORD-2026-0238</t>
        </is>
      </c>
      <c r="B239" s="2" t="n">
        <v>46202</v>
      </c>
      <c r="C239" t="inlineStr">
        <is>
          <t>제일산업</t>
        </is>
      </c>
      <c r="D239" t="inlineStr">
        <is>
          <t>대전</t>
        </is>
      </c>
      <c r="E239" t="inlineStr">
        <is>
          <t>부품</t>
        </is>
      </c>
      <c r="F239" t="inlineStr">
        <is>
          <t>센서 모듈 S1</t>
        </is>
      </c>
      <c r="G239" s="3" t="n">
        <v>52</v>
      </c>
      <c r="H239" s="4" t="n">
        <v>85000</v>
      </c>
      <c r="I239" s="4" t="n">
        <v>4420000</v>
      </c>
      <c r="J239" t="inlineStr">
        <is>
          <t>박지훈</t>
        </is>
      </c>
      <c r="K239" t="inlineStr">
        <is>
          <t>완료</t>
        </is>
      </c>
      <c r="L239" s="3" t="n">
        <v>6</v>
      </c>
    </row>
    <row r="240">
      <c r="A240" t="inlineStr">
        <is>
          <t>ORD-2026-0239</t>
        </is>
      </c>
      <c r="B240" s="2" t="n">
        <v>46203</v>
      </c>
      <c r="C240" t="inlineStr">
        <is>
          <t>태양금속</t>
        </is>
      </c>
      <c r="D240" t="inlineStr">
        <is>
          <t>부산</t>
        </is>
      </c>
      <c r="E240" t="inlineStr">
        <is>
          <t>부품</t>
        </is>
      </c>
      <c r="F240" t="inlineStr">
        <is>
          <t>기어 어셈블리</t>
        </is>
      </c>
      <c r="G240" s="3" t="n">
        <v>64</v>
      </c>
      <c r="H240" s="4" t="n">
        <v>120000</v>
      </c>
      <c r="I240" s="4" t="n">
        <v>7680000</v>
      </c>
      <c r="J240" t="inlineStr">
        <is>
          <t>김민준</t>
        </is>
      </c>
      <c r="K240" t="inlineStr">
        <is>
          <t>완료</t>
        </is>
      </c>
      <c r="L240" s="3" t="n">
        <v>6</v>
      </c>
    </row>
    <row r="241">
      <c r="A241" t="inlineStr">
        <is>
          <t>ORD-2026-0240</t>
        </is>
      </c>
      <c r="B241" s="2" t="n">
        <v>46203</v>
      </c>
      <c r="C241" t="inlineStr">
        <is>
          <t>동양정밀</t>
        </is>
      </c>
      <c r="D241" t="inlineStr">
        <is>
          <t>인천</t>
        </is>
      </c>
      <c r="E241" t="inlineStr">
        <is>
          <t>모듈</t>
        </is>
      </c>
      <c r="F241" t="inlineStr">
        <is>
          <t>제어 모듈 CM-100</t>
        </is>
      </c>
      <c r="G241" s="3" t="n">
        <v>6</v>
      </c>
      <c r="H241" s="4" t="n">
        <v>650000</v>
      </c>
      <c r="I241" s="4" t="n">
        <v>3900000</v>
      </c>
      <c r="J241" t="inlineStr">
        <is>
          <t>최수아</t>
        </is>
      </c>
      <c r="K241" t="inlineStr">
        <is>
          <t>완료</t>
        </is>
      </c>
      <c r="L241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</cols>
  <sheetData>
    <row r="1">
      <c r="A1" s="5" t="inlineStr">
        <is>
          <t>지역별 집계</t>
        </is>
      </c>
      <c r="C1" s="4" t="n"/>
      <c r="D1" s="4" t="n"/>
    </row>
    <row r="2">
      <c r="A2" s="6" t="inlineStr">
        <is>
          <t>지역</t>
        </is>
      </c>
      <c r="B2" s="6" t="inlineStr">
        <is>
          <t>주문건수</t>
        </is>
      </c>
      <c r="C2" s="7" t="inlineStr">
        <is>
          <t>매출액(완료)</t>
        </is>
      </c>
      <c r="D2" s="7" t="inlineStr">
        <is>
          <t>평균 주문금액</t>
        </is>
      </c>
    </row>
    <row r="3">
      <c r="A3" t="inlineStr">
        <is>
          <t>서울</t>
        </is>
      </c>
      <c r="B3">
        <f>COUNTIFS(CLEAN!$D$2:$D$241,A3,CLEAN!$K$2:$K$241,"완료")</f>
        <v/>
      </c>
      <c r="C3" s="4">
        <f>SUMIFS(CLEAN!$I$2:$I$241,CLEAN!$D$2:$D$241,A3,CLEAN!$K$2:$K$241,"완료")</f>
        <v/>
      </c>
      <c r="D3" s="4">
        <f>IFERROR(C3/B3,0)</f>
        <v/>
      </c>
    </row>
    <row r="4">
      <c r="A4" t="inlineStr">
        <is>
          <t>경기</t>
        </is>
      </c>
      <c r="B4">
        <f>COUNTIFS(CLEAN!$D$2:$D$241,A4,CLEAN!$K$2:$K$241,"완료")</f>
        <v/>
      </c>
      <c r="C4" s="4">
        <f>SUMIFS(CLEAN!$I$2:$I$241,CLEAN!$D$2:$D$241,A4,CLEAN!$K$2:$K$241,"완료")</f>
        <v/>
      </c>
      <c r="D4" s="4">
        <f>IFERROR(C4/B4,0)</f>
        <v/>
      </c>
    </row>
    <row r="5">
      <c r="A5" t="inlineStr">
        <is>
          <t>인천</t>
        </is>
      </c>
      <c r="B5">
        <f>COUNTIFS(CLEAN!$D$2:$D$241,A5,CLEAN!$K$2:$K$241,"완료")</f>
        <v/>
      </c>
      <c r="C5" s="4">
        <f>SUMIFS(CLEAN!$I$2:$I$241,CLEAN!$D$2:$D$241,A5,CLEAN!$K$2:$K$241,"완료")</f>
        <v/>
      </c>
      <c r="D5" s="4">
        <f>IFERROR(C5/B5,0)</f>
        <v/>
      </c>
    </row>
    <row r="6">
      <c r="A6" t="inlineStr">
        <is>
          <t>대전</t>
        </is>
      </c>
      <c r="B6">
        <f>COUNTIFS(CLEAN!$D$2:$D$241,A6,CLEAN!$K$2:$K$241,"완료")</f>
        <v/>
      </c>
      <c r="C6" s="4">
        <f>SUMIFS(CLEAN!$I$2:$I$241,CLEAN!$D$2:$D$241,A6,CLEAN!$K$2:$K$241,"완료")</f>
        <v/>
      </c>
      <c r="D6" s="4">
        <f>IFERROR(C6/B6,0)</f>
        <v/>
      </c>
    </row>
    <row r="7">
      <c r="A7" t="inlineStr">
        <is>
          <t>대구</t>
        </is>
      </c>
      <c r="B7">
        <f>COUNTIFS(CLEAN!$D$2:$D$241,A7,CLEAN!$K$2:$K$241,"완료")</f>
        <v/>
      </c>
      <c r="C7" s="4">
        <f>SUMIFS(CLEAN!$I$2:$I$241,CLEAN!$D$2:$D$241,A7,CLEAN!$K$2:$K$241,"완료")</f>
        <v/>
      </c>
      <c r="D7" s="4">
        <f>IFERROR(C7/B7,0)</f>
        <v/>
      </c>
    </row>
    <row r="8">
      <c r="A8" t="inlineStr">
        <is>
          <t>부산</t>
        </is>
      </c>
      <c r="B8">
        <f>COUNTIFS(CLEAN!$D$2:$D$241,A8,CLEAN!$K$2:$K$241,"완료")</f>
        <v/>
      </c>
      <c r="C8" s="4">
        <f>SUMIFS(CLEAN!$I$2:$I$241,CLEAN!$D$2:$D$241,A8,CLEAN!$K$2:$K$241,"완료")</f>
        <v/>
      </c>
      <c r="D8" s="4">
        <f>IFERROR(C8/B8,0)</f>
        <v/>
      </c>
    </row>
    <row r="9">
      <c r="A9" t="inlineStr">
        <is>
          <t>울산</t>
        </is>
      </c>
      <c r="B9">
        <f>COUNTIFS(CLEAN!$D$2:$D$241,A9,CLEAN!$K$2:$K$241,"완료")</f>
        <v/>
      </c>
      <c r="C9" s="4">
        <f>SUMIFS(CLEAN!$I$2:$I$241,CLEAN!$D$2:$D$241,A9,CLEAN!$K$2:$K$241,"완료")</f>
        <v/>
      </c>
      <c r="D9" s="4">
        <f>IFERROR(C9/B9,0)</f>
        <v/>
      </c>
    </row>
    <row r="10">
      <c r="A10" t="inlineStr">
        <is>
          <t>광주</t>
        </is>
      </c>
      <c r="B10">
        <f>COUNTIFS(CLEAN!$D$2:$D$241,A10,CLEAN!$K$2:$K$241,"완료")</f>
        <v/>
      </c>
      <c r="C10" s="4">
        <f>SUMIFS(CLEAN!$I$2:$I$241,CLEAN!$D$2:$D$241,A10,CLEAN!$K$2:$K$241,"완료")</f>
        <v/>
      </c>
      <c r="D10" s="4">
        <f>IFERROR(C10/B10,0)</f>
        <v/>
      </c>
    </row>
    <row r="11">
      <c r="C11" s="4" t="n"/>
      <c r="D11" s="4" t="n"/>
    </row>
    <row r="12">
      <c r="C12" s="4" t="n"/>
      <c r="D12" s="4" t="n"/>
    </row>
    <row r="13">
      <c r="A13" s="5" t="inlineStr">
        <is>
          <t>제품군별 집계</t>
        </is>
      </c>
      <c r="C13" s="4" t="n"/>
      <c r="D13" s="4" t="n"/>
    </row>
    <row r="14">
      <c r="C14" s="4" t="n"/>
      <c r="D14" s="4" t="n"/>
    </row>
    <row r="15">
      <c r="A15" s="6" t="inlineStr">
        <is>
          <t>제품군</t>
        </is>
      </c>
      <c r="B15" s="6" t="inlineStr">
        <is>
          <t>주문건수</t>
        </is>
      </c>
      <c r="C15" s="7" t="inlineStr">
        <is>
          <t>매출액(완료)</t>
        </is>
      </c>
      <c r="D15" s="7" t="inlineStr">
        <is>
          <t>매출 비중</t>
        </is>
      </c>
    </row>
    <row r="16">
      <c r="A16" t="inlineStr">
        <is>
          <t>부품</t>
        </is>
      </c>
      <c r="B16">
        <f>COUNTIFS(CLEAN!$E$2:$E$241,A16,CLEAN!$K$2:$K$241,"완료")</f>
        <v/>
      </c>
      <c r="C16" s="4">
        <f>SUMIFS(CLEAN!$I$2:$I$241,CLEAN!$E$2:$E$241,A16,CLEAN!$K$2:$K$241,"완료")</f>
        <v/>
      </c>
      <c r="D16" s="8">
        <f>IFERROR(C16/SUM($C$16:$C$19),0)</f>
        <v/>
      </c>
    </row>
    <row r="17">
      <c r="A17" t="inlineStr">
        <is>
          <t>모듈</t>
        </is>
      </c>
      <c r="B17">
        <f>COUNTIFS(CLEAN!$E$2:$E$241,A17,CLEAN!$K$2:$K$241,"완료")</f>
        <v/>
      </c>
      <c r="C17" s="4">
        <f>SUMIFS(CLEAN!$I$2:$I$241,CLEAN!$E$2:$E$241,A17,CLEAN!$K$2:$K$241,"완료")</f>
        <v/>
      </c>
      <c r="D17" s="8">
        <f>IFERROR(C17/SUM($C$16:$C$19),0)</f>
        <v/>
      </c>
    </row>
    <row r="18">
      <c r="A18" t="inlineStr">
        <is>
          <t>소모품</t>
        </is>
      </c>
      <c r="B18">
        <f>COUNTIFS(CLEAN!$E$2:$E$241,A18,CLEAN!$K$2:$K$241,"완료")</f>
        <v/>
      </c>
      <c r="C18" s="4">
        <f>SUMIFS(CLEAN!$I$2:$I$241,CLEAN!$E$2:$E$241,A18,CLEAN!$K$2:$K$241,"완료")</f>
        <v/>
      </c>
      <c r="D18" s="8">
        <f>IFERROR(C18/SUM($C$16:$C$19),0)</f>
        <v/>
      </c>
    </row>
    <row r="19">
      <c r="A19" t="inlineStr">
        <is>
          <t>서비스</t>
        </is>
      </c>
      <c r="B19">
        <f>COUNTIFS(CLEAN!$E$2:$E$241,A19,CLEAN!$K$2:$K$241,"완료")</f>
        <v/>
      </c>
      <c r="C19" s="4">
        <f>SUMIFS(CLEAN!$I$2:$I$241,CLEAN!$E$2:$E$241,A19,CLEAN!$K$2:$K$241,"완료")</f>
        <v/>
      </c>
      <c r="D19" s="8">
        <f>IFERROR(C19/SUM($C$16:$C$19),0)</f>
        <v/>
      </c>
    </row>
    <row r="20">
      <c r="C20" s="4" t="n"/>
      <c r="D20" s="4" t="n"/>
    </row>
    <row r="21">
      <c r="A21" s="5" t="inlineStr">
        <is>
          <t>월별 집계</t>
        </is>
      </c>
      <c r="C21" s="4" t="n"/>
      <c r="D21" s="4" t="n"/>
    </row>
    <row r="22">
      <c r="A22" s="6" t="inlineStr">
        <is>
          <t>월</t>
        </is>
      </c>
      <c r="B22" s="6" t="inlineStr">
        <is>
          <t>주문건수</t>
        </is>
      </c>
      <c r="C22" s="7" t="inlineStr">
        <is>
          <t>매출액(완료)</t>
        </is>
      </c>
      <c r="D22" s="7" t="inlineStr">
        <is>
          <t>전월 대비</t>
        </is>
      </c>
    </row>
    <row r="23">
      <c r="A23" t="n">
        <v>1</v>
      </c>
      <c r="B23">
        <f>COUNTIFS(CLEAN!$L$2:$L$241,A23,CLEAN!$K$2:$K$241,"완료")</f>
        <v/>
      </c>
      <c r="C23" s="4">
        <f>SUMIFS(CLEAN!$I$2:$I$241,CLEAN!$L$2:$L$241,A23,CLEAN!$K$2:$K$241,"완료")</f>
        <v/>
      </c>
      <c r="D23" s="4" t="inlineStr"/>
    </row>
    <row r="24">
      <c r="A24" t="n">
        <v>2</v>
      </c>
      <c r="B24">
        <f>COUNTIFS(CLEAN!$L$2:$L$241,A24,CLEAN!$K$2:$K$241,"완료")</f>
        <v/>
      </c>
      <c r="C24" s="4">
        <f>SUMIFS(CLEAN!$I$2:$I$241,CLEAN!$L$2:$L$241,A24,CLEAN!$K$2:$K$241,"완료")</f>
        <v/>
      </c>
      <c r="D24" s="9">
        <f>IFERROR(C24/C23-1,0)</f>
        <v/>
      </c>
    </row>
    <row r="25">
      <c r="A25" t="n">
        <v>3</v>
      </c>
      <c r="B25">
        <f>COUNTIFS(CLEAN!$L$2:$L$241,A25,CLEAN!$K$2:$K$241,"완료")</f>
        <v/>
      </c>
      <c r="C25" s="4">
        <f>SUMIFS(CLEAN!$I$2:$I$241,CLEAN!$L$2:$L$241,A25,CLEAN!$K$2:$K$241,"완료")</f>
        <v/>
      </c>
      <c r="D25" s="9">
        <f>IFERROR(C25/C24-1,0)</f>
        <v/>
      </c>
    </row>
    <row r="26">
      <c r="A26" t="n">
        <v>4</v>
      </c>
      <c r="B26">
        <f>COUNTIFS(CLEAN!$L$2:$L$241,A26,CLEAN!$K$2:$K$241,"완료")</f>
        <v/>
      </c>
      <c r="C26" s="4">
        <f>SUMIFS(CLEAN!$I$2:$I$241,CLEAN!$L$2:$L$241,A26,CLEAN!$K$2:$K$241,"완료")</f>
        <v/>
      </c>
      <c r="D26" s="9">
        <f>IFERROR(C26/C25-1,0)</f>
        <v/>
      </c>
    </row>
    <row r="27">
      <c r="A27" t="n">
        <v>5</v>
      </c>
      <c r="B27">
        <f>COUNTIFS(CLEAN!$L$2:$L$241,A27,CLEAN!$K$2:$K$241,"완료")</f>
        <v/>
      </c>
      <c r="C27" s="4">
        <f>SUMIFS(CLEAN!$I$2:$I$241,CLEAN!$L$2:$L$241,A27,CLEAN!$K$2:$K$241,"완료")</f>
        <v/>
      </c>
      <c r="D27" s="9">
        <f>IFERROR(C27/C26-1,0)</f>
        <v/>
      </c>
    </row>
    <row r="28">
      <c r="A28" t="n">
        <v>6</v>
      </c>
      <c r="B28">
        <f>COUNTIFS(CLEAN!$L$2:$L$241,A28,CLEAN!$K$2:$K$241,"완료")</f>
        <v/>
      </c>
      <c r="C28" s="4">
        <f>SUMIFS(CLEAN!$I$2:$I$241,CLEAN!$L$2:$L$241,A28,CLEAN!$K$2:$K$241,"완료")</f>
        <v/>
      </c>
      <c r="D28" s="9">
        <f>IFERROR(C28/C27-1,0)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</cols>
  <sheetData>
    <row r="1">
      <c r="A1" s="6" t="inlineStr">
        <is>
          <t>KPI</t>
        </is>
      </c>
      <c r="B1" s="6" t="inlineStr">
        <is>
          <t>값</t>
        </is>
      </c>
      <c r="C1" s="6" t="inlineStr">
        <is>
          <t>수식 설명</t>
        </is>
      </c>
    </row>
    <row r="2">
      <c r="A2" t="inlineStr">
        <is>
          <t>총 매출액(완료)</t>
        </is>
      </c>
      <c r="B2" s="4">
        <f>SUMIFS(CLEAN!$I$2:$I$241,CLEAN!$K$2:$K$241,"완료")</f>
        <v/>
      </c>
      <c r="C2" t="inlineStr">
        <is>
          <t>결제상태가 완료인 건만 더한다</t>
        </is>
      </c>
    </row>
    <row r="3">
      <c r="A3" t="inlineStr">
        <is>
          <t>주문건수(완료)</t>
        </is>
      </c>
      <c r="B3">
        <f>COUNTIFS(CLEAN!$K$2:$K$241,"완료")</f>
        <v/>
      </c>
      <c r="C3" t="inlineStr">
        <is>
          <t>완료 건수</t>
        </is>
      </c>
    </row>
    <row r="4">
      <c r="A4" t="inlineStr">
        <is>
          <t>평균 주문금액</t>
        </is>
      </c>
      <c r="B4" s="4">
        <f>IFERROR(B2/B3,0)</f>
        <v/>
      </c>
      <c r="C4" t="inlineStr">
        <is>
          <t>총 매출 ÷ 건수</t>
        </is>
      </c>
    </row>
    <row r="5">
      <c r="A5" t="inlineStr">
        <is>
          <t>취소율</t>
        </is>
      </c>
      <c r="B5" s="8">
        <f>COUNTIFS(CLEAN!$K$2:$K$241,"취소")/COUNTA(CLEAN!$A$2:$A$241)</f>
        <v/>
      </c>
      <c r="C5" t="inlineStr">
        <is>
          <t>취소 건수 ÷ 전체 건수</t>
        </is>
      </c>
    </row>
    <row r="6">
      <c r="A6" t="inlineStr">
        <is>
          <t>거래처 수</t>
        </is>
      </c>
      <c r="B6">
        <f>SUMPRODUCT(1/COUNTIF(CLEAN!$C$2:$C$241,CLEAN!$C$2:$C$241))</f>
        <v/>
      </c>
      <c r="C6" t="inlineStr">
        <is>
          <t>고유 거래처 수</t>
        </is>
      </c>
    </row>
    <row r="8">
      <c r="A8" s="5" t="inlineStr">
        <is>
          <t>상위 5 거래처(완료 매출)</t>
        </is>
      </c>
    </row>
    <row r="9">
      <c r="A9" s="6" t="inlineStr">
        <is>
          <t>순위</t>
        </is>
      </c>
      <c r="B9" s="6" t="inlineStr">
        <is>
          <t>거래처명</t>
        </is>
      </c>
      <c r="C9" s="6" t="inlineStr">
        <is>
          <t>매출액</t>
        </is>
      </c>
    </row>
    <row r="10">
      <c r="A10" t="n">
        <v>1</v>
      </c>
      <c r="B10" t="inlineStr">
        <is>
          <t>동양정밀</t>
        </is>
      </c>
      <c r="C10" s="4" t="n">
        <v>50955000</v>
      </c>
    </row>
    <row r="11">
      <c r="A11" t="n">
        <v>2</v>
      </c>
      <c r="B11" t="inlineStr">
        <is>
          <t>제일산업</t>
        </is>
      </c>
      <c r="C11" s="4" t="n">
        <v>49830000</v>
      </c>
    </row>
    <row r="12">
      <c r="A12" t="n">
        <v>3</v>
      </c>
      <c r="B12" t="inlineStr">
        <is>
          <t>한빛전자</t>
        </is>
      </c>
      <c r="C12" s="4" t="n">
        <v>45878000</v>
      </c>
    </row>
    <row r="13">
      <c r="A13" t="n">
        <v>4</v>
      </c>
      <c r="B13" t="inlineStr">
        <is>
          <t>삼일기계</t>
        </is>
      </c>
      <c r="C13" s="4" t="n">
        <v>43796000</v>
      </c>
    </row>
    <row r="14">
      <c r="A14" t="n">
        <v>5</v>
      </c>
      <c r="B14" t="inlineStr">
        <is>
          <t>가온테크</t>
        </is>
      </c>
      <c r="C14" s="4" t="n">
        <v>42215000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2026-09-24T04:12:23Z</dcterms:created>
  <dcterms:modified xmlns:dcterms="http://purl.org/dc/terms/" xmlns:xsi="http://www.w3.org/2001/XMLSchema-instance" xsi:type="dcterms:W3CDTF">2026-09-24T04:12:23Z</dcterms:modified>
</cp:coreProperties>
</file>