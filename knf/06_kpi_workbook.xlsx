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CALC" sheetId="1" state="visible" r:id="rId1"/>
    <sheet xmlns:r="http://schemas.openxmlformats.org/officeDocument/2006/relationships" name="OEE_BY_PROCESS" sheetId="2" state="visible" r:id="rId2"/>
    <sheet xmlns:r="http://schemas.openxmlformats.org/officeDocument/2006/relationships" name="CPK_ANSW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E3A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교대</t>
        </is>
      </c>
      <c r="C1" s="1" t="inlineStr">
        <is>
          <t>공정코드</t>
        </is>
      </c>
      <c r="D1" s="1" t="inlineStr">
        <is>
          <t>공정</t>
        </is>
      </c>
      <c r="E1" s="1" t="inlineStr">
        <is>
          <t>설비</t>
        </is>
      </c>
      <c r="F1" s="1" t="inlineStr">
        <is>
          <t>계획가동_분</t>
        </is>
      </c>
      <c r="G1" s="1" t="inlineStr">
        <is>
          <t>비가동_분</t>
        </is>
      </c>
      <c r="H1" s="1" t="inlineStr">
        <is>
          <t>주요비가동사유</t>
        </is>
      </c>
      <c r="I1" s="1" t="inlineStr">
        <is>
          <t>이론CT_초</t>
        </is>
      </c>
      <c r="J1" s="1" t="inlineStr">
        <is>
          <t>생산수량</t>
        </is>
      </c>
      <c r="K1" s="1" t="inlineStr">
        <is>
          <t>양품수량</t>
        </is>
      </c>
      <c r="L1" s="1" t="inlineStr">
        <is>
          <t>원료로트</t>
        </is>
      </c>
      <c r="M1" s="1" t="inlineStr">
        <is>
          <t>운전시간_분</t>
        </is>
      </c>
      <c r="N1" s="1" t="inlineStr">
        <is>
          <t>가동률</t>
        </is>
      </c>
      <c r="O1" s="1" t="inlineStr">
        <is>
          <t>성능</t>
        </is>
      </c>
      <c r="P1" s="1" t="inlineStr">
        <is>
          <t>양품률</t>
        </is>
      </c>
      <c r="Q1" s="1" t="inlineStr">
        <is>
          <t>OEE</t>
        </is>
      </c>
    </row>
    <row r="2">
      <c r="A2" t="inlineStr">
        <is>
          <t>2026-07-01</t>
        </is>
      </c>
      <c r="B2" t="inlineStr">
        <is>
          <t>주간</t>
        </is>
      </c>
      <c r="C2" t="inlineStr">
        <is>
          <t>P1</t>
        </is>
      </c>
      <c r="D2" t="inlineStr">
        <is>
          <t>원료혼합</t>
        </is>
      </c>
      <c r="E2" t="inlineStr">
        <is>
          <t>MX-01</t>
        </is>
      </c>
      <c r="F2" t="n">
        <v>480</v>
      </c>
      <c r="G2" t="n">
        <v>26</v>
      </c>
      <c r="H2" t="inlineStr">
        <is>
          <t>배합 확인</t>
        </is>
      </c>
      <c r="I2" t="n">
        <v>5</v>
      </c>
      <c r="J2" t="n">
        <v>4988</v>
      </c>
      <c r="K2" t="n">
        <v>4958</v>
      </c>
      <c r="L2" t="inlineStr">
        <is>
          <t>L-0701</t>
        </is>
      </c>
      <c r="M2">
        <f>F2-G2</f>
        <v/>
      </c>
      <c r="N2" s="2">
        <f>M2/F2</f>
        <v/>
      </c>
      <c r="O2" s="2">
        <f>I2*J2/60/M2</f>
        <v/>
      </c>
      <c r="P2" s="2">
        <f>K2/J2</f>
        <v/>
      </c>
      <c r="Q2" s="2">
        <f>N2*O2*P2</f>
        <v/>
      </c>
    </row>
    <row r="3">
      <c r="A3" t="inlineStr">
        <is>
          <t>2026-07-01</t>
        </is>
      </c>
      <c r="B3" t="inlineStr">
        <is>
          <t>주간</t>
        </is>
      </c>
      <c r="C3" t="inlineStr">
        <is>
          <t>P1</t>
        </is>
      </c>
      <c r="D3" t="inlineStr">
        <is>
          <t>원료혼합</t>
        </is>
      </c>
      <c r="E3" t="inlineStr">
        <is>
          <t>MX-02</t>
        </is>
      </c>
      <c r="F3" t="n">
        <v>480</v>
      </c>
      <c r="G3" t="n">
        <v>32</v>
      </c>
      <c r="H3" t="inlineStr">
        <is>
          <t>원료 대기</t>
        </is>
      </c>
      <c r="I3" t="n">
        <v>5</v>
      </c>
      <c r="J3" t="n">
        <v>5322</v>
      </c>
      <c r="K3" t="n">
        <v>5297</v>
      </c>
      <c r="L3" t="inlineStr">
        <is>
          <t>L-0701</t>
        </is>
      </c>
      <c r="M3">
        <f>F3-G3</f>
        <v/>
      </c>
      <c r="N3" s="2">
        <f>M3/F3</f>
        <v/>
      </c>
      <c r="O3" s="2">
        <f>I3*J3/60/M3</f>
        <v/>
      </c>
      <c r="P3" s="2">
        <f>K3/J3</f>
        <v/>
      </c>
      <c r="Q3" s="2">
        <f>N3*O3*P3</f>
        <v/>
      </c>
    </row>
    <row r="4">
      <c r="A4" t="inlineStr">
        <is>
          <t>2026-07-01</t>
        </is>
      </c>
      <c r="B4" t="inlineStr">
        <is>
          <t>주간</t>
        </is>
      </c>
      <c r="C4" t="inlineStr">
        <is>
          <t>P2</t>
        </is>
      </c>
      <c r="D4" t="inlineStr">
        <is>
          <t>성형</t>
        </is>
      </c>
      <c r="E4" t="inlineStr">
        <is>
          <t>PR-01</t>
        </is>
      </c>
      <c r="F4" t="n">
        <v>480</v>
      </c>
      <c r="G4" t="n">
        <v>24</v>
      </c>
      <c r="H4" t="inlineStr">
        <is>
          <t>금형 교체</t>
        </is>
      </c>
      <c r="I4" t="n">
        <v>6</v>
      </c>
      <c r="J4" t="n">
        <v>4445</v>
      </c>
      <c r="K4" t="n">
        <v>4397</v>
      </c>
      <c r="L4" t="inlineStr">
        <is>
          <t>L-0701</t>
        </is>
      </c>
      <c r="M4">
        <f>F4-G4</f>
        <v/>
      </c>
      <c r="N4" s="2">
        <f>M4/F4</f>
        <v/>
      </c>
      <c r="O4" s="2">
        <f>I4*J4/60/M4</f>
        <v/>
      </c>
      <c r="P4" s="2">
        <f>K4/J4</f>
        <v/>
      </c>
      <c r="Q4" s="2">
        <f>N4*O4*P4</f>
        <v/>
      </c>
    </row>
    <row r="5">
      <c r="A5" t="inlineStr">
        <is>
          <t>2026-07-01</t>
        </is>
      </c>
      <c r="B5" t="inlineStr">
        <is>
          <t>주간</t>
        </is>
      </c>
      <c r="C5" t="inlineStr">
        <is>
          <t>P2</t>
        </is>
      </c>
      <c r="D5" t="inlineStr">
        <is>
          <t>성형</t>
        </is>
      </c>
      <c r="E5" t="inlineStr">
        <is>
          <t>PR-02</t>
        </is>
      </c>
      <c r="F5" t="n">
        <v>480</v>
      </c>
      <c r="G5" t="n">
        <v>31</v>
      </c>
      <c r="H5" t="inlineStr">
        <is>
          <t>금형 교체</t>
        </is>
      </c>
      <c r="I5" t="n">
        <v>6</v>
      </c>
      <c r="J5" t="n">
        <v>4264</v>
      </c>
      <c r="K5" t="n">
        <v>4220</v>
      </c>
      <c r="L5" t="inlineStr">
        <is>
          <t>L-0701</t>
        </is>
      </c>
      <c r="M5">
        <f>F5-G5</f>
        <v/>
      </c>
      <c r="N5" s="2">
        <f>M5/F5</f>
        <v/>
      </c>
      <c r="O5" s="2">
        <f>I5*J5/60/M5</f>
        <v/>
      </c>
      <c r="P5" s="2">
        <f>K5/J5</f>
        <v/>
      </c>
      <c r="Q5" s="2">
        <f>N5*O5*P5</f>
        <v/>
      </c>
    </row>
    <row r="6">
      <c r="A6" t="inlineStr">
        <is>
          <t>2026-07-01</t>
        </is>
      </c>
      <c r="B6" t="inlineStr">
        <is>
          <t>주간</t>
        </is>
      </c>
      <c r="C6" t="inlineStr">
        <is>
          <t>P3</t>
        </is>
      </c>
      <c r="D6" t="inlineStr">
        <is>
          <t>소결</t>
        </is>
      </c>
      <c r="E6" t="inlineStr">
        <is>
          <t>SF-01</t>
        </is>
      </c>
      <c r="F6" t="n">
        <v>480</v>
      </c>
      <c r="G6" t="n">
        <v>12</v>
      </c>
      <c r="H6" t="inlineStr">
        <is>
          <t>승온 대기</t>
        </is>
      </c>
      <c r="I6" t="n">
        <v>6.5</v>
      </c>
      <c r="J6" t="n">
        <v>4065</v>
      </c>
      <c r="K6" t="n">
        <v>3952</v>
      </c>
      <c r="L6" t="inlineStr">
        <is>
          <t>L-0701</t>
        </is>
      </c>
      <c r="M6">
        <f>F6-G6</f>
        <v/>
      </c>
      <c r="N6" s="2">
        <f>M6/F6</f>
        <v/>
      </c>
      <c r="O6" s="2">
        <f>I6*J6/60/M6</f>
        <v/>
      </c>
      <c r="P6" s="2">
        <f>K6/J6</f>
        <v/>
      </c>
      <c r="Q6" s="2">
        <f>N6*O6*P6</f>
        <v/>
      </c>
    </row>
    <row r="7">
      <c r="A7" t="inlineStr">
        <is>
          <t>2026-07-01</t>
        </is>
      </c>
      <c r="B7" t="inlineStr">
        <is>
          <t>주간</t>
        </is>
      </c>
      <c r="C7" t="inlineStr">
        <is>
          <t>P3</t>
        </is>
      </c>
      <c r="D7" t="inlineStr">
        <is>
          <t>소결</t>
        </is>
      </c>
      <c r="E7" t="inlineStr">
        <is>
          <t>SF-02</t>
        </is>
      </c>
      <c r="F7" t="n">
        <v>480</v>
      </c>
      <c r="G7" t="n">
        <v>45</v>
      </c>
      <c r="H7" t="inlineStr">
        <is>
          <t>승온 대기</t>
        </is>
      </c>
      <c r="I7" t="n">
        <v>6.5</v>
      </c>
      <c r="J7" t="n">
        <v>3572</v>
      </c>
      <c r="K7" t="n">
        <v>3504</v>
      </c>
      <c r="L7" t="inlineStr">
        <is>
          <t>L-0701</t>
        </is>
      </c>
      <c r="M7">
        <f>F7-G7</f>
        <v/>
      </c>
      <c r="N7" s="2">
        <f>M7/F7</f>
        <v/>
      </c>
      <c r="O7" s="2">
        <f>I7*J7/60/M7</f>
        <v/>
      </c>
      <c r="P7" s="2">
        <f>K7/J7</f>
        <v/>
      </c>
      <c r="Q7" s="2">
        <f>N7*O7*P7</f>
        <v/>
      </c>
    </row>
    <row r="8">
      <c r="A8" t="inlineStr">
        <is>
          <t>2026-07-01</t>
        </is>
      </c>
      <c r="B8" t="inlineStr">
        <is>
          <t>주간</t>
        </is>
      </c>
      <c r="C8" t="inlineStr">
        <is>
          <t>P4</t>
        </is>
      </c>
      <c r="D8" t="inlineStr">
        <is>
          <t>연삭</t>
        </is>
      </c>
      <c r="E8" t="inlineStr">
        <is>
          <t>GR-01</t>
        </is>
      </c>
      <c r="F8" t="n">
        <v>480</v>
      </c>
      <c r="G8" t="n">
        <v>64</v>
      </c>
      <c r="H8" t="inlineStr">
        <is>
          <t>공구 교체</t>
        </is>
      </c>
      <c r="I8" t="n">
        <v>6.2</v>
      </c>
      <c r="J8" t="n">
        <v>3707</v>
      </c>
      <c r="K8" t="n">
        <v>3671</v>
      </c>
      <c r="L8" t="inlineStr">
        <is>
          <t>L-0701</t>
        </is>
      </c>
      <c r="M8">
        <f>F8-G8</f>
        <v/>
      </c>
      <c r="N8" s="2">
        <f>M8/F8</f>
        <v/>
      </c>
      <c r="O8" s="2">
        <f>I8*J8/60/M8</f>
        <v/>
      </c>
      <c r="P8" s="2">
        <f>K8/J8</f>
        <v/>
      </c>
      <c r="Q8" s="2">
        <f>N8*O8*P8</f>
        <v/>
      </c>
    </row>
    <row r="9">
      <c r="A9" t="inlineStr">
        <is>
          <t>2026-07-01</t>
        </is>
      </c>
      <c r="B9" t="inlineStr">
        <is>
          <t>주간</t>
        </is>
      </c>
      <c r="C9" t="inlineStr">
        <is>
          <t>P4</t>
        </is>
      </c>
      <c r="D9" t="inlineStr">
        <is>
          <t>연삭</t>
        </is>
      </c>
      <c r="E9" t="inlineStr">
        <is>
          <t>GR-02</t>
        </is>
      </c>
      <c r="F9" t="n">
        <v>480</v>
      </c>
      <c r="G9" t="n">
        <v>35</v>
      </c>
      <c r="H9" t="inlineStr">
        <is>
          <t>공구 교체</t>
        </is>
      </c>
      <c r="I9" t="n">
        <v>6.2</v>
      </c>
      <c r="J9" t="n">
        <v>4002</v>
      </c>
      <c r="K9" t="n">
        <v>3955</v>
      </c>
      <c r="L9" t="inlineStr">
        <is>
          <t>L-0701</t>
        </is>
      </c>
      <c r="M9">
        <f>F9-G9</f>
        <v/>
      </c>
      <c r="N9" s="2">
        <f>M9/F9</f>
        <v/>
      </c>
      <c r="O9" s="2">
        <f>I9*J9/60/M9</f>
        <v/>
      </c>
      <c r="P9" s="2">
        <f>K9/J9</f>
        <v/>
      </c>
      <c r="Q9" s="2">
        <f>N9*O9*P9</f>
        <v/>
      </c>
    </row>
    <row r="10">
      <c r="A10" t="inlineStr">
        <is>
          <t>2026-07-01</t>
        </is>
      </c>
      <c r="B10" t="inlineStr">
        <is>
          <t>주간</t>
        </is>
      </c>
      <c r="C10" t="inlineStr">
        <is>
          <t>P5</t>
        </is>
      </c>
      <c r="D10" t="inlineStr">
        <is>
          <t>검사</t>
        </is>
      </c>
      <c r="E10" t="inlineStr">
        <is>
          <t>IN-01</t>
        </is>
      </c>
      <c r="F10" t="n">
        <v>480</v>
      </c>
      <c r="G10" t="n">
        <v>10</v>
      </c>
      <c r="H10" t="inlineStr">
        <is>
          <t>측정기 교정</t>
        </is>
      </c>
      <c r="I10" t="n">
        <v>5.5</v>
      </c>
      <c r="J10" t="n">
        <v>4644</v>
      </c>
      <c r="K10" t="n">
        <v>4631</v>
      </c>
      <c r="L10" t="inlineStr">
        <is>
          <t>L-0701</t>
        </is>
      </c>
      <c r="M10">
        <f>F10-G10</f>
        <v/>
      </c>
      <c r="N10" s="2">
        <f>M10/F10</f>
        <v/>
      </c>
      <c r="O10" s="2">
        <f>I10*J10/60/M10</f>
        <v/>
      </c>
      <c r="P10" s="2">
        <f>K10/J10</f>
        <v/>
      </c>
      <c r="Q10" s="2">
        <f>N10*O10*P10</f>
        <v/>
      </c>
    </row>
    <row r="11">
      <c r="A11" t="inlineStr">
        <is>
          <t>2026-07-01</t>
        </is>
      </c>
      <c r="B11" t="inlineStr">
        <is>
          <t>주간</t>
        </is>
      </c>
      <c r="C11" t="inlineStr">
        <is>
          <t>P5</t>
        </is>
      </c>
      <c r="D11" t="inlineStr">
        <is>
          <t>검사</t>
        </is>
      </c>
      <c r="E11" t="inlineStr">
        <is>
          <t>IN-02</t>
        </is>
      </c>
      <c r="F11" t="n">
        <v>480</v>
      </c>
      <c r="G11" t="n">
        <v>46</v>
      </c>
      <c r="H11" t="inlineStr">
        <is>
          <t>측정기 교정</t>
        </is>
      </c>
      <c r="I11" t="n">
        <v>5.5</v>
      </c>
      <c r="J11" t="n">
        <v>4118</v>
      </c>
      <c r="K11" t="n">
        <v>4105</v>
      </c>
      <c r="L11" t="inlineStr">
        <is>
          <t>L-0701</t>
        </is>
      </c>
      <c r="M11">
        <f>F11-G11</f>
        <v/>
      </c>
      <c r="N11" s="2">
        <f>M11/F11</f>
        <v/>
      </c>
      <c r="O11" s="2">
        <f>I11*J11/60/M11</f>
        <v/>
      </c>
      <c r="P11" s="2">
        <f>K11/J11</f>
        <v/>
      </c>
      <c r="Q11" s="2">
        <f>N11*O11*P11</f>
        <v/>
      </c>
    </row>
    <row r="12">
      <c r="A12" t="inlineStr">
        <is>
          <t>2026-07-01</t>
        </is>
      </c>
      <c r="B12" t="inlineStr">
        <is>
          <t>주간</t>
        </is>
      </c>
      <c r="C12" t="inlineStr">
        <is>
          <t>P6</t>
        </is>
      </c>
      <c r="D12" t="inlineStr">
        <is>
          <t>포장</t>
        </is>
      </c>
      <c r="E12" t="inlineStr">
        <is>
          <t>PK-01</t>
        </is>
      </c>
      <c r="F12" t="n">
        <v>480</v>
      </c>
      <c r="G12" t="n">
        <v>9</v>
      </c>
      <c r="H12" t="inlineStr">
        <is>
          <t>자재 대기</t>
        </is>
      </c>
      <c r="I12" t="n">
        <v>4.8</v>
      </c>
      <c r="J12" t="n">
        <v>5468</v>
      </c>
      <c r="K12" t="n">
        <v>5454</v>
      </c>
      <c r="L12" t="inlineStr">
        <is>
          <t>L-0701</t>
        </is>
      </c>
      <c r="M12">
        <f>F12-G12</f>
        <v/>
      </c>
      <c r="N12" s="2">
        <f>M12/F12</f>
        <v/>
      </c>
      <c r="O12" s="2">
        <f>I12*J12/60/M12</f>
        <v/>
      </c>
      <c r="P12" s="2">
        <f>K12/J12</f>
        <v/>
      </c>
      <c r="Q12" s="2">
        <f>N12*O12*P12</f>
        <v/>
      </c>
    </row>
    <row r="13">
      <c r="A13" t="inlineStr">
        <is>
          <t>2026-07-01</t>
        </is>
      </c>
      <c r="B13" t="inlineStr">
        <is>
          <t>주간</t>
        </is>
      </c>
      <c r="C13" t="inlineStr">
        <is>
          <t>P6</t>
        </is>
      </c>
      <c r="D13" t="inlineStr">
        <is>
          <t>포장</t>
        </is>
      </c>
      <c r="E13" t="inlineStr">
        <is>
          <t>PK-02</t>
        </is>
      </c>
      <c r="F13" t="n">
        <v>480</v>
      </c>
      <c r="G13" t="n">
        <v>30</v>
      </c>
      <c r="H13" t="inlineStr">
        <is>
          <t>라벨 교체</t>
        </is>
      </c>
      <c r="I13" t="n">
        <v>4.8</v>
      </c>
      <c r="J13" t="n">
        <v>5148</v>
      </c>
      <c r="K13" t="n">
        <v>5137</v>
      </c>
      <c r="L13" t="inlineStr">
        <is>
          <t>L-0701</t>
        </is>
      </c>
      <c r="M13">
        <f>F13-G13</f>
        <v/>
      </c>
      <c r="N13" s="2">
        <f>M13/F13</f>
        <v/>
      </c>
      <c r="O13" s="2">
        <f>I13*J13/60/M13</f>
        <v/>
      </c>
      <c r="P13" s="2">
        <f>K13/J13</f>
        <v/>
      </c>
      <c r="Q13" s="2">
        <f>N13*O13*P13</f>
        <v/>
      </c>
    </row>
    <row r="14">
      <c r="A14" t="inlineStr">
        <is>
          <t>2026-07-01</t>
        </is>
      </c>
      <c r="B14" t="inlineStr">
        <is>
          <t>야간</t>
        </is>
      </c>
      <c r="C14" t="inlineStr">
        <is>
          <t>P1</t>
        </is>
      </c>
      <c r="D14" t="inlineStr">
        <is>
          <t>원료혼합</t>
        </is>
      </c>
      <c r="E14" t="inlineStr">
        <is>
          <t>MX-01</t>
        </is>
      </c>
      <c r="F14" t="n">
        <v>480</v>
      </c>
      <c r="G14" t="n">
        <v>27</v>
      </c>
      <c r="H14" t="inlineStr">
        <is>
          <t>배합 확인</t>
        </is>
      </c>
      <c r="I14" t="n">
        <v>5</v>
      </c>
      <c r="J14" t="n">
        <v>5136</v>
      </c>
      <c r="K14" t="n">
        <v>5102</v>
      </c>
      <c r="L14" t="inlineStr">
        <is>
          <t>L-0701</t>
        </is>
      </c>
      <c r="M14">
        <f>F14-G14</f>
        <v/>
      </c>
      <c r="N14" s="2">
        <f>M14/F14</f>
        <v/>
      </c>
      <c r="O14" s="2">
        <f>I14*J14/60/M14</f>
        <v/>
      </c>
      <c r="P14" s="2">
        <f>K14/J14</f>
        <v/>
      </c>
      <c r="Q14" s="2">
        <f>N14*O14*P14</f>
        <v/>
      </c>
    </row>
    <row r="15">
      <c r="A15" t="inlineStr">
        <is>
          <t>2026-07-01</t>
        </is>
      </c>
      <c r="B15" t="inlineStr">
        <is>
          <t>야간</t>
        </is>
      </c>
      <c r="C15" t="inlineStr">
        <is>
          <t>P1</t>
        </is>
      </c>
      <c r="D15" t="inlineStr">
        <is>
          <t>원료혼합</t>
        </is>
      </c>
      <c r="E15" t="inlineStr">
        <is>
          <t>MX-02</t>
        </is>
      </c>
      <c r="F15" t="n">
        <v>480</v>
      </c>
      <c r="G15" t="n">
        <v>28</v>
      </c>
      <c r="H15" t="inlineStr">
        <is>
          <t>원료 대기</t>
        </is>
      </c>
      <c r="I15" t="n">
        <v>5</v>
      </c>
      <c r="J15" t="n">
        <v>5276</v>
      </c>
      <c r="K15" t="n">
        <v>5245</v>
      </c>
      <c r="L15" t="inlineStr">
        <is>
          <t>L-0701</t>
        </is>
      </c>
      <c r="M15">
        <f>F15-G15</f>
        <v/>
      </c>
      <c r="N15" s="2">
        <f>M15/F15</f>
        <v/>
      </c>
      <c r="O15" s="2">
        <f>I15*J15/60/M15</f>
        <v/>
      </c>
      <c r="P15" s="2">
        <f>K15/J15</f>
        <v/>
      </c>
      <c r="Q15" s="2">
        <f>N15*O15*P15</f>
        <v/>
      </c>
    </row>
    <row r="16">
      <c r="A16" t="inlineStr">
        <is>
          <t>2026-07-01</t>
        </is>
      </c>
      <c r="B16" t="inlineStr">
        <is>
          <t>야간</t>
        </is>
      </c>
      <c r="C16" t="inlineStr">
        <is>
          <t>P2</t>
        </is>
      </c>
      <c r="D16" t="inlineStr">
        <is>
          <t>성형</t>
        </is>
      </c>
      <c r="E16" t="inlineStr">
        <is>
          <t>PR-01</t>
        </is>
      </c>
      <c r="F16" t="n">
        <v>480</v>
      </c>
      <c r="G16" t="n">
        <v>24</v>
      </c>
      <c r="H16" t="inlineStr">
        <is>
          <t>압력 이상</t>
        </is>
      </c>
      <c r="I16" t="n">
        <v>6</v>
      </c>
      <c r="J16" t="n">
        <v>4209</v>
      </c>
      <c r="K16" t="n">
        <v>4160</v>
      </c>
      <c r="L16" t="inlineStr">
        <is>
          <t>L-0701</t>
        </is>
      </c>
      <c r="M16">
        <f>F16-G16</f>
        <v/>
      </c>
      <c r="N16" s="2">
        <f>M16/F16</f>
        <v/>
      </c>
      <c r="O16" s="2">
        <f>I16*J16/60/M16</f>
        <v/>
      </c>
      <c r="P16" s="2">
        <f>K16/J16</f>
        <v/>
      </c>
      <c r="Q16" s="2">
        <f>N16*O16*P16</f>
        <v/>
      </c>
    </row>
    <row r="17">
      <c r="A17" t="inlineStr">
        <is>
          <t>2026-07-01</t>
        </is>
      </c>
      <c r="B17" t="inlineStr">
        <is>
          <t>야간</t>
        </is>
      </c>
      <c r="C17" t="inlineStr">
        <is>
          <t>P2</t>
        </is>
      </c>
      <c r="D17" t="inlineStr">
        <is>
          <t>성형</t>
        </is>
      </c>
      <c r="E17" t="inlineStr">
        <is>
          <t>PR-02</t>
        </is>
      </c>
      <c r="F17" t="n">
        <v>480</v>
      </c>
      <c r="G17" t="n">
        <v>10</v>
      </c>
      <c r="H17" t="inlineStr">
        <is>
          <t>압력 이상</t>
        </is>
      </c>
      <c r="I17" t="n">
        <v>6</v>
      </c>
      <c r="J17" t="n">
        <v>4332</v>
      </c>
      <c r="K17" t="n">
        <v>4277</v>
      </c>
      <c r="L17" t="inlineStr">
        <is>
          <t>L-0701</t>
        </is>
      </c>
      <c r="M17">
        <f>F17-G17</f>
        <v/>
      </c>
      <c r="N17" s="2">
        <f>M17/F17</f>
        <v/>
      </c>
      <c r="O17" s="2">
        <f>I17*J17/60/M17</f>
        <v/>
      </c>
      <c r="P17" s="2">
        <f>K17/J17</f>
        <v/>
      </c>
      <c r="Q17" s="2">
        <f>N17*O17*P17</f>
        <v/>
      </c>
    </row>
    <row r="18">
      <c r="A18" t="inlineStr">
        <is>
          <t>2026-07-01</t>
        </is>
      </c>
      <c r="B18" t="inlineStr">
        <is>
          <t>야간</t>
        </is>
      </c>
      <c r="C18" t="inlineStr">
        <is>
          <t>P3</t>
        </is>
      </c>
      <c r="D18" t="inlineStr">
        <is>
          <t>소결</t>
        </is>
      </c>
      <c r="E18" t="inlineStr">
        <is>
          <t>SF-01</t>
        </is>
      </c>
      <c r="F18" t="n">
        <v>480</v>
      </c>
      <c r="G18" t="n">
        <v>23</v>
      </c>
      <c r="H18" t="inlineStr">
        <is>
          <t>재가열</t>
        </is>
      </c>
      <c r="I18" t="n">
        <v>6.5</v>
      </c>
      <c r="J18" t="n">
        <v>3959</v>
      </c>
      <c r="K18" t="n">
        <v>3809</v>
      </c>
      <c r="L18" t="inlineStr">
        <is>
          <t>L-0701</t>
        </is>
      </c>
      <c r="M18">
        <f>F18-G18</f>
        <v/>
      </c>
      <c r="N18" s="2">
        <f>M18/F18</f>
        <v/>
      </c>
      <c r="O18" s="2">
        <f>I18*J18/60/M18</f>
        <v/>
      </c>
      <c r="P18" s="2">
        <f>K18/J18</f>
        <v/>
      </c>
      <c r="Q18" s="2">
        <f>N18*O18*P18</f>
        <v/>
      </c>
    </row>
    <row r="19">
      <c r="A19" t="inlineStr">
        <is>
          <t>2026-07-01</t>
        </is>
      </c>
      <c r="B19" t="inlineStr">
        <is>
          <t>야간</t>
        </is>
      </c>
      <c r="C19" t="inlineStr">
        <is>
          <t>P3</t>
        </is>
      </c>
      <c r="D19" t="inlineStr">
        <is>
          <t>소결</t>
        </is>
      </c>
      <c r="E19" t="inlineStr">
        <is>
          <t>SF-02</t>
        </is>
      </c>
      <c r="F19" t="n">
        <v>480</v>
      </c>
      <c r="G19" t="n">
        <v>40</v>
      </c>
      <c r="H19" t="inlineStr">
        <is>
          <t>승온 대기</t>
        </is>
      </c>
      <c r="I19" t="n">
        <v>6.5</v>
      </c>
      <c r="J19" t="n">
        <v>3619</v>
      </c>
      <c r="K19" t="n">
        <v>3551</v>
      </c>
      <c r="L19" t="inlineStr">
        <is>
          <t>L-0701</t>
        </is>
      </c>
      <c r="M19">
        <f>F19-G19</f>
        <v/>
      </c>
      <c r="N19" s="2">
        <f>M19/F19</f>
        <v/>
      </c>
      <c r="O19" s="2">
        <f>I19*J19/60/M19</f>
        <v/>
      </c>
      <c r="P19" s="2">
        <f>K19/J19</f>
        <v/>
      </c>
      <c r="Q19" s="2">
        <f>N19*O19*P19</f>
        <v/>
      </c>
    </row>
    <row r="20">
      <c r="A20" t="inlineStr">
        <is>
          <t>2026-07-01</t>
        </is>
      </c>
      <c r="B20" t="inlineStr">
        <is>
          <t>야간</t>
        </is>
      </c>
      <c r="C20" t="inlineStr">
        <is>
          <t>P4</t>
        </is>
      </c>
      <c r="D20" t="inlineStr">
        <is>
          <t>연삭</t>
        </is>
      </c>
      <c r="E20" t="inlineStr">
        <is>
          <t>GR-01</t>
        </is>
      </c>
      <c r="F20" t="n">
        <v>480</v>
      </c>
      <c r="G20" t="n">
        <v>41</v>
      </c>
      <c r="H20" t="inlineStr">
        <is>
          <t>공구 교체</t>
        </is>
      </c>
      <c r="I20" t="n">
        <v>6.2</v>
      </c>
      <c r="J20" t="n">
        <v>3979</v>
      </c>
      <c r="K20" t="n">
        <v>3930</v>
      </c>
      <c r="L20" t="inlineStr">
        <is>
          <t>L-0701</t>
        </is>
      </c>
      <c r="M20">
        <f>F20-G20</f>
        <v/>
      </c>
      <c r="N20" s="2">
        <f>M20/F20</f>
        <v/>
      </c>
      <c r="O20" s="2">
        <f>I20*J20/60/M20</f>
        <v/>
      </c>
      <c r="P20" s="2">
        <f>K20/J20</f>
        <v/>
      </c>
      <c r="Q20" s="2">
        <f>N20*O20*P20</f>
        <v/>
      </c>
    </row>
    <row r="21">
      <c r="A21" t="inlineStr">
        <is>
          <t>2026-07-01</t>
        </is>
      </c>
      <c r="B21" t="inlineStr">
        <is>
          <t>야간</t>
        </is>
      </c>
      <c r="C21" t="inlineStr">
        <is>
          <t>P4</t>
        </is>
      </c>
      <c r="D21" t="inlineStr">
        <is>
          <t>연삭</t>
        </is>
      </c>
      <c r="E21" t="inlineStr">
        <is>
          <t>GR-02</t>
        </is>
      </c>
      <c r="F21" t="n">
        <v>480</v>
      </c>
      <c r="G21" t="n">
        <v>39</v>
      </c>
      <c r="H21" t="inlineStr">
        <is>
          <t>드레싱</t>
        </is>
      </c>
      <c r="I21" t="n">
        <v>6.2</v>
      </c>
      <c r="J21" t="n">
        <v>4055</v>
      </c>
      <c r="K21" t="n">
        <v>4012</v>
      </c>
      <c r="L21" t="inlineStr">
        <is>
          <t>L-0701</t>
        </is>
      </c>
      <c r="M21">
        <f>F21-G21</f>
        <v/>
      </c>
      <c r="N21" s="2">
        <f>M21/F21</f>
        <v/>
      </c>
      <c r="O21" s="2">
        <f>I21*J21/60/M21</f>
        <v/>
      </c>
      <c r="P21" s="2">
        <f>K21/J21</f>
        <v/>
      </c>
      <c r="Q21" s="2">
        <f>N21*O21*P21</f>
        <v/>
      </c>
    </row>
    <row r="22">
      <c r="A22" t="inlineStr">
        <is>
          <t>2026-07-01</t>
        </is>
      </c>
      <c r="B22" t="inlineStr">
        <is>
          <t>야간</t>
        </is>
      </c>
      <c r="C22" t="inlineStr">
        <is>
          <t>P5</t>
        </is>
      </c>
      <c r="D22" t="inlineStr">
        <is>
          <t>검사</t>
        </is>
      </c>
      <c r="E22" t="inlineStr">
        <is>
          <t>IN-01</t>
        </is>
      </c>
      <c r="F22" t="n">
        <v>480</v>
      </c>
      <c r="G22" t="n">
        <v>13</v>
      </c>
      <c r="H22" t="inlineStr">
        <is>
          <t>샘플 재검</t>
        </is>
      </c>
      <c r="I22" t="n">
        <v>5.5</v>
      </c>
      <c r="J22" t="n">
        <v>4799</v>
      </c>
      <c r="K22" t="n">
        <v>4779</v>
      </c>
      <c r="L22" t="inlineStr">
        <is>
          <t>L-0701</t>
        </is>
      </c>
      <c r="M22">
        <f>F22-G22</f>
        <v/>
      </c>
      <c r="N22" s="2">
        <f>M22/F22</f>
        <v/>
      </c>
      <c r="O22" s="2">
        <f>I22*J22/60/M22</f>
        <v/>
      </c>
      <c r="P22" s="2">
        <f>K22/J22</f>
        <v/>
      </c>
      <c r="Q22" s="2">
        <f>N22*O22*P22</f>
        <v/>
      </c>
    </row>
    <row r="23">
      <c r="A23" t="inlineStr">
        <is>
          <t>2026-07-01</t>
        </is>
      </c>
      <c r="B23" t="inlineStr">
        <is>
          <t>야간</t>
        </is>
      </c>
      <c r="C23" t="inlineStr">
        <is>
          <t>P5</t>
        </is>
      </c>
      <c r="D23" t="inlineStr">
        <is>
          <t>검사</t>
        </is>
      </c>
      <c r="E23" t="inlineStr">
        <is>
          <t>IN-02</t>
        </is>
      </c>
      <c r="F23" t="n">
        <v>480</v>
      </c>
      <c r="G23" t="n">
        <v>13</v>
      </c>
      <c r="H23" t="inlineStr">
        <is>
          <t>측정기 교정</t>
        </is>
      </c>
      <c r="I23" t="n">
        <v>5.5</v>
      </c>
      <c r="J23" t="n">
        <v>4608</v>
      </c>
      <c r="K23" t="n">
        <v>4592</v>
      </c>
      <c r="L23" t="inlineStr">
        <is>
          <t>L-0701</t>
        </is>
      </c>
      <c r="M23">
        <f>F23-G23</f>
        <v/>
      </c>
      <c r="N23" s="2">
        <f>M23/F23</f>
        <v/>
      </c>
      <c r="O23" s="2">
        <f>I23*J23/60/M23</f>
        <v/>
      </c>
      <c r="P23" s="2">
        <f>K23/J23</f>
        <v/>
      </c>
      <c r="Q23" s="2">
        <f>N23*O23*P23</f>
        <v/>
      </c>
    </row>
    <row r="24">
      <c r="A24" t="inlineStr">
        <is>
          <t>2026-07-01</t>
        </is>
      </c>
      <c r="B24" t="inlineStr">
        <is>
          <t>야간</t>
        </is>
      </c>
      <c r="C24" t="inlineStr">
        <is>
          <t>P6</t>
        </is>
      </c>
      <c r="D24" t="inlineStr">
        <is>
          <t>포장</t>
        </is>
      </c>
      <c r="E24" t="inlineStr">
        <is>
          <t>PK-01</t>
        </is>
      </c>
      <c r="F24" t="n">
        <v>480</v>
      </c>
      <c r="G24" t="n">
        <v>25</v>
      </c>
      <c r="H24" t="inlineStr">
        <is>
          <t>라벨 교체</t>
        </is>
      </c>
      <c r="I24" t="n">
        <v>4.8</v>
      </c>
      <c r="J24" t="n">
        <v>5504</v>
      </c>
      <c r="K24" t="n">
        <v>5491</v>
      </c>
      <c r="L24" t="inlineStr">
        <is>
          <t>L-0701</t>
        </is>
      </c>
      <c r="M24">
        <f>F24-G24</f>
        <v/>
      </c>
      <c r="N24" s="2">
        <f>M24/F24</f>
        <v/>
      </c>
      <c r="O24" s="2">
        <f>I24*J24/60/M24</f>
        <v/>
      </c>
      <c r="P24" s="2">
        <f>K24/J24</f>
        <v/>
      </c>
      <c r="Q24" s="2">
        <f>N24*O24*P24</f>
        <v/>
      </c>
    </row>
    <row r="25">
      <c r="A25" t="inlineStr">
        <is>
          <t>2026-07-01</t>
        </is>
      </c>
      <c r="B25" t="inlineStr">
        <is>
          <t>야간</t>
        </is>
      </c>
      <c r="C25" t="inlineStr">
        <is>
          <t>P6</t>
        </is>
      </c>
      <c r="D25" t="inlineStr">
        <is>
          <t>포장</t>
        </is>
      </c>
      <c r="E25" t="inlineStr">
        <is>
          <t>PK-02</t>
        </is>
      </c>
      <c r="F25" t="n">
        <v>480</v>
      </c>
      <c r="G25" t="n">
        <v>42</v>
      </c>
      <c r="H25" t="inlineStr">
        <is>
          <t>자재 대기</t>
        </is>
      </c>
      <c r="I25" t="n">
        <v>4.8</v>
      </c>
      <c r="J25" t="n">
        <v>4976</v>
      </c>
      <c r="K25" t="n">
        <v>4964</v>
      </c>
      <c r="L25" t="inlineStr">
        <is>
          <t>L-0701</t>
        </is>
      </c>
      <c r="M25">
        <f>F25-G25</f>
        <v/>
      </c>
      <c r="N25" s="2">
        <f>M25/F25</f>
        <v/>
      </c>
      <c r="O25" s="2">
        <f>I25*J25/60/M25</f>
        <v/>
      </c>
      <c r="P25" s="2">
        <f>K25/J25</f>
        <v/>
      </c>
      <c r="Q25" s="2">
        <f>N25*O25*P25</f>
        <v/>
      </c>
    </row>
    <row r="26">
      <c r="A26" t="inlineStr">
        <is>
          <t>2026-07-02</t>
        </is>
      </c>
      <c r="B26" t="inlineStr">
        <is>
          <t>주간</t>
        </is>
      </c>
      <c r="C26" t="inlineStr">
        <is>
          <t>P1</t>
        </is>
      </c>
      <c r="D26" t="inlineStr">
        <is>
          <t>원료혼합</t>
        </is>
      </c>
      <c r="E26" t="inlineStr">
        <is>
          <t>MX-01</t>
        </is>
      </c>
      <c r="F26" t="n">
        <v>480</v>
      </c>
      <c r="G26" t="n">
        <v>57</v>
      </c>
      <c r="H26" t="inlineStr">
        <is>
          <t>원료 대기</t>
        </is>
      </c>
      <c r="I26" t="n">
        <v>5</v>
      </c>
      <c r="J26" t="n">
        <v>4631</v>
      </c>
      <c r="K26" t="n">
        <v>4604</v>
      </c>
      <c r="L26" t="inlineStr">
        <is>
          <t>L-0701</t>
        </is>
      </c>
      <c r="M26">
        <f>F26-G26</f>
        <v/>
      </c>
      <c r="N26" s="2">
        <f>M26/F26</f>
        <v/>
      </c>
      <c r="O26" s="2">
        <f>I26*J26/60/M26</f>
        <v/>
      </c>
      <c r="P26" s="2">
        <f>K26/J26</f>
        <v/>
      </c>
      <c r="Q26" s="2">
        <f>N26*O26*P26</f>
        <v/>
      </c>
    </row>
    <row r="27">
      <c r="A27" t="inlineStr">
        <is>
          <t>2026-07-02</t>
        </is>
      </c>
      <c r="B27" t="inlineStr">
        <is>
          <t>주간</t>
        </is>
      </c>
      <c r="C27" t="inlineStr">
        <is>
          <t>P1</t>
        </is>
      </c>
      <c r="D27" t="inlineStr">
        <is>
          <t>원료혼합</t>
        </is>
      </c>
      <c r="E27" t="inlineStr">
        <is>
          <t>MX-02</t>
        </is>
      </c>
      <c r="F27" t="n">
        <v>480</v>
      </c>
      <c r="G27" t="n">
        <v>90</v>
      </c>
      <c r="H27" t="inlineStr">
        <is>
          <t>배합 확인</t>
        </is>
      </c>
      <c r="I27" t="n">
        <v>5</v>
      </c>
      <c r="J27" t="n">
        <v>4507</v>
      </c>
      <c r="K27" t="n">
        <v>4486</v>
      </c>
      <c r="L27" t="inlineStr">
        <is>
          <t>L-0701</t>
        </is>
      </c>
      <c r="M27">
        <f>F27-G27</f>
        <v/>
      </c>
      <c r="N27" s="2">
        <f>M27/F27</f>
        <v/>
      </c>
      <c r="O27" s="2">
        <f>I27*J27/60/M27</f>
        <v/>
      </c>
      <c r="P27" s="2">
        <f>K27/J27</f>
        <v/>
      </c>
      <c r="Q27" s="2">
        <f>N27*O27*P27</f>
        <v/>
      </c>
    </row>
    <row r="28">
      <c r="A28" t="inlineStr">
        <is>
          <t>2026-07-02</t>
        </is>
      </c>
      <c r="B28" t="inlineStr">
        <is>
          <t>주간</t>
        </is>
      </c>
      <c r="C28" t="inlineStr">
        <is>
          <t>P2</t>
        </is>
      </c>
      <c r="D28" t="inlineStr">
        <is>
          <t>성형</t>
        </is>
      </c>
      <c r="E28" t="inlineStr">
        <is>
          <t>PR-01</t>
        </is>
      </c>
      <c r="F28" t="n">
        <v>480</v>
      </c>
      <c r="G28" t="n">
        <v>12</v>
      </c>
      <c r="H28" t="inlineStr">
        <is>
          <t>분말 공급 지연</t>
        </is>
      </c>
      <c r="I28" t="n">
        <v>6</v>
      </c>
      <c r="J28" t="n">
        <v>4424</v>
      </c>
      <c r="K28" t="n">
        <v>4379</v>
      </c>
      <c r="L28" t="inlineStr">
        <is>
          <t>L-0701</t>
        </is>
      </c>
      <c r="M28">
        <f>F28-G28</f>
        <v/>
      </c>
      <c r="N28" s="2">
        <f>M28/F28</f>
        <v/>
      </c>
      <c r="O28" s="2">
        <f>I28*J28/60/M28</f>
        <v/>
      </c>
      <c r="P28" s="2">
        <f>K28/J28</f>
        <v/>
      </c>
      <c r="Q28" s="2">
        <f>N28*O28*P28</f>
        <v/>
      </c>
    </row>
    <row r="29">
      <c r="A29" t="inlineStr">
        <is>
          <t>2026-07-02</t>
        </is>
      </c>
      <c r="B29" t="inlineStr">
        <is>
          <t>주간</t>
        </is>
      </c>
      <c r="C29" t="inlineStr">
        <is>
          <t>P2</t>
        </is>
      </c>
      <c r="D29" t="inlineStr">
        <is>
          <t>성형</t>
        </is>
      </c>
      <c r="E29" t="inlineStr">
        <is>
          <t>PR-02</t>
        </is>
      </c>
      <c r="F29" t="n">
        <v>480</v>
      </c>
      <c r="G29" t="n">
        <v>43</v>
      </c>
      <c r="H29" t="inlineStr">
        <is>
          <t>압력 이상</t>
        </is>
      </c>
      <c r="I29" t="n">
        <v>6</v>
      </c>
      <c r="J29" t="n">
        <v>4139</v>
      </c>
      <c r="K29" t="n">
        <v>4100</v>
      </c>
      <c r="L29" t="inlineStr">
        <is>
          <t>L-0701</t>
        </is>
      </c>
      <c r="M29">
        <f>F29-G29</f>
        <v/>
      </c>
      <c r="N29" s="2">
        <f>M29/F29</f>
        <v/>
      </c>
      <c r="O29" s="2">
        <f>I29*J29/60/M29</f>
        <v/>
      </c>
      <c r="P29" s="2">
        <f>K29/J29</f>
        <v/>
      </c>
      <c r="Q29" s="2">
        <f>N29*O29*P29</f>
        <v/>
      </c>
    </row>
    <row r="30">
      <c r="A30" t="inlineStr">
        <is>
          <t>2026-07-02</t>
        </is>
      </c>
      <c r="B30" t="inlineStr">
        <is>
          <t>주간</t>
        </is>
      </c>
      <c r="C30" t="inlineStr">
        <is>
          <t>P3</t>
        </is>
      </c>
      <c r="D30" t="inlineStr">
        <is>
          <t>소결</t>
        </is>
      </c>
      <c r="E30" t="inlineStr">
        <is>
          <t>SF-01</t>
        </is>
      </c>
      <c r="F30" t="n">
        <v>480</v>
      </c>
      <c r="G30" t="n">
        <v>31</v>
      </c>
      <c r="H30" t="inlineStr">
        <is>
          <t>온도 이상 정지</t>
        </is>
      </c>
      <c r="I30" t="n">
        <v>6.5</v>
      </c>
      <c r="J30" t="n">
        <v>3880</v>
      </c>
      <c r="K30" t="n">
        <v>3806</v>
      </c>
      <c r="L30" t="inlineStr">
        <is>
          <t>L-0701</t>
        </is>
      </c>
      <c r="M30">
        <f>F30-G30</f>
        <v/>
      </c>
      <c r="N30" s="2">
        <f>M30/F30</f>
        <v/>
      </c>
      <c r="O30" s="2">
        <f>I30*J30/60/M30</f>
        <v/>
      </c>
      <c r="P30" s="2">
        <f>K30/J30</f>
        <v/>
      </c>
      <c r="Q30" s="2">
        <f>N30*O30*P30</f>
        <v/>
      </c>
    </row>
    <row r="31">
      <c r="A31" t="inlineStr">
        <is>
          <t>2026-07-02</t>
        </is>
      </c>
      <c r="B31" t="inlineStr">
        <is>
          <t>주간</t>
        </is>
      </c>
      <c r="C31" t="inlineStr">
        <is>
          <t>P3</t>
        </is>
      </c>
      <c r="D31" t="inlineStr">
        <is>
          <t>소결</t>
        </is>
      </c>
      <c r="E31" t="inlineStr">
        <is>
          <t>SF-02</t>
        </is>
      </c>
      <c r="F31" t="n">
        <v>480</v>
      </c>
      <c r="G31" t="n">
        <v>59</v>
      </c>
      <c r="H31" t="inlineStr">
        <is>
          <t>승온 대기</t>
        </is>
      </c>
      <c r="I31" t="n">
        <v>6.5</v>
      </c>
      <c r="J31" t="n">
        <v>3619</v>
      </c>
      <c r="K31" t="n">
        <v>3529</v>
      </c>
      <c r="L31" t="inlineStr">
        <is>
          <t>L-0701</t>
        </is>
      </c>
      <c r="M31">
        <f>F31-G31</f>
        <v/>
      </c>
      <c r="N31" s="2">
        <f>M31/F31</f>
        <v/>
      </c>
      <c r="O31" s="2">
        <f>I31*J31/60/M31</f>
        <v/>
      </c>
      <c r="P31" s="2">
        <f>K31/J31</f>
        <v/>
      </c>
      <c r="Q31" s="2">
        <f>N31*O31*P31</f>
        <v/>
      </c>
    </row>
    <row r="32">
      <c r="A32" t="inlineStr">
        <is>
          <t>2026-07-02</t>
        </is>
      </c>
      <c r="B32" t="inlineStr">
        <is>
          <t>주간</t>
        </is>
      </c>
      <c r="C32" t="inlineStr">
        <is>
          <t>P4</t>
        </is>
      </c>
      <c r="D32" t="inlineStr">
        <is>
          <t>연삭</t>
        </is>
      </c>
      <c r="E32" t="inlineStr">
        <is>
          <t>GR-01</t>
        </is>
      </c>
      <c r="F32" t="n">
        <v>480</v>
      </c>
      <c r="G32" t="n">
        <v>56</v>
      </c>
      <c r="H32" t="inlineStr">
        <is>
          <t>드레싱</t>
        </is>
      </c>
      <c r="I32" t="n">
        <v>6.2</v>
      </c>
      <c r="J32" t="n">
        <v>3876</v>
      </c>
      <c r="K32" t="n">
        <v>3832</v>
      </c>
      <c r="L32" t="inlineStr">
        <is>
          <t>L-0701</t>
        </is>
      </c>
      <c r="M32">
        <f>F32-G32</f>
        <v/>
      </c>
      <c r="N32" s="2">
        <f>M32/F32</f>
        <v/>
      </c>
      <c r="O32" s="2">
        <f>I32*J32/60/M32</f>
        <v/>
      </c>
      <c r="P32" s="2">
        <f>K32/J32</f>
        <v/>
      </c>
      <c r="Q32" s="2">
        <f>N32*O32*P32</f>
        <v/>
      </c>
    </row>
    <row r="33">
      <c r="A33" t="inlineStr">
        <is>
          <t>2026-07-02</t>
        </is>
      </c>
      <c r="B33" t="inlineStr">
        <is>
          <t>주간</t>
        </is>
      </c>
      <c r="C33" t="inlineStr">
        <is>
          <t>P4</t>
        </is>
      </c>
      <c r="D33" t="inlineStr">
        <is>
          <t>연삭</t>
        </is>
      </c>
      <c r="E33" t="inlineStr">
        <is>
          <t>GR-02</t>
        </is>
      </c>
      <c r="F33" t="n">
        <v>480</v>
      </c>
      <c r="G33" t="n">
        <v>49</v>
      </c>
      <c r="H33" t="inlineStr">
        <is>
          <t>공구 교체</t>
        </is>
      </c>
      <c r="I33" t="n">
        <v>6.2</v>
      </c>
      <c r="J33" t="n">
        <v>3843</v>
      </c>
      <c r="K33" t="n">
        <v>3805</v>
      </c>
      <c r="L33" t="inlineStr">
        <is>
          <t>L-0701</t>
        </is>
      </c>
      <c r="M33">
        <f>F33-G33</f>
        <v/>
      </c>
      <c r="N33" s="2">
        <f>M33/F33</f>
        <v/>
      </c>
      <c r="O33" s="2">
        <f>I33*J33/60/M33</f>
        <v/>
      </c>
      <c r="P33" s="2">
        <f>K33/J33</f>
        <v/>
      </c>
      <c r="Q33" s="2">
        <f>N33*O33*P33</f>
        <v/>
      </c>
    </row>
    <row r="34">
      <c r="A34" t="inlineStr">
        <is>
          <t>2026-07-02</t>
        </is>
      </c>
      <c r="B34" t="inlineStr">
        <is>
          <t>주간</t>
        </is>
      </c>
      <c r="C34" t="inlineStr">
        <is>
          <t>P5</t>
        </is>
      </c>
      <c r="D34" t="inlineStr">
        <is>
          <t>검사</t>
        </is>
      </c>
      <c r="E34" t="inlineStr">
        <is>
          <t>IN-01</t>
        </is>
      </c>
      <c r="F34" t="n">
        <v>480</v>
      </c>
      <c r="G34" t="n">
        <v>34</v>
      </c>
      <c r="H34" t="inlineStr">
        <is>
          <t>샘플 재검</t>
        </is>
      </c>
      <c r="I34" t="n">
        <v>5.5</v>
      </c>
      <c r="J34" t="n">
        <v>4414</v>
      </c>
      <c r="K34" t="n">
        <v>4399</v>
      </c>
      <c r="L34" t="inlineStr">
        <is>
          <t>L-0701</t>
        </is>
      </c>
      <c r="M34">
        <f>F34-G34</f>
        <v/>
      </c>
      <c r="N34" s="2">
        <f>M34/F34</f>
        <v/>
      </c>
      <c r="O34" s="2">
        <f>I34*J34/60/M34</f>
        <v/>
      </c>
      <c r="P34" s="2">
        <f>K34/J34</f>
        <v/>
      </c>
      <c r="Q34" s="2">
        <f>N34*O34*P34</f>
        <v/>
      </c>
    </row>
    <row r="35">
      <c r="A35" t="inlineStr">
        <is>
          <t>2026-07-02</t>
        </is>
      </c>
      <c r="B35" t="inlineStr">
        <is>
          <t>주간</t>
        </is>
      </c>
      <c r="C35" t="inlineStr">
        <is>
          <t>P5</t>
        </is>
      </c>
      <c r="D35" t="inlineStr">
        <is>
          <t>검사</t>
        </is>
      </c>
      <c r="E35" t="inlineStr">
        <is>
          <t>IN-02</t>
        </is>
      </c>
      <c r="F35" t="n">
        <v>480</v>
      </c>
      <c r="G35" t="n">
        <v>5</v>
      </c>
      <c r="H35" t="inlineStr">
        <is>
          <t>측정기 교정</t>
        </is>
      </c>
      <c r="I35" t="n">
        <v>5.5</v>
      </c>
      <c r="J35" t="n">
        <v>4753</v>
      </c>
      <c r="K35" t="n">
        <v>4737</v>
      </c>
      <c r="L35" t="inlineStr">
        <is>
          <t>L-0701</t>
        </is>
      </c>
      <c r="M35">
        <f>F35-G35</f>
        <v/>
      </c>
      <c r="N35" s="2">
        <f>M35/F35</f>
        <v/>
      </c>
      <c r="O35" s="2">
        <f>I35*J35/60/M35</f>
        <v/>
      </c>
      <c r="P35" s="2">
        <f>K35/J35</f>
        <v/>
      </c>
      <c r="Q35" s="2">
        <f>N35*O35*P35</f>
        <v/>
      </c>
    </row>
    <row r="36">
      <c r="A36" t="inlineStr">
        <is>
          <t>2026-07-02</t>
        </is>
      </c>
      <c r="B36" t="inlineStr">
        <is>
          <t>주간</t>
        </is>
      </c>
      <c r="C36" t="inlineStr">
        <is>
          <t>P6</t>
        </is>
      </c>
      <c r="D36" t="inlineStr">
        <is>
          <t>포장</t>
        </is>
      </c>
      <c r="E36" t="inlineStr">
        <is>
          <t>PK-01</t>
        </is>
      </c>
      <c r="F36" t="n">
        <v>480</v>
      </c>
      <c r="G36" t="n">
        <v>53</v>
      </c>
      <c r="H36" t="inlineStr">
        <is>
          <t>라벨 교체</t>
        </is>
      </c>
      <c r="I36" t="n">
        <v>4.8</v>
      </c>
      <c r="J36" t="n">
        <v>4957</v>
      </c>
      <c r="K36" t="n">
        <v>4946</v>
      </c>
      <c r="L36" t="inlineStr">
        <is>
          <t>L-0701</t>
        </is>
      </c>
      <c r="M36">
        <f>F36-G36</f>
        <v/>
      </c>
      <c r="N36" s="2">
        <f>M36/F36</f>
        <v/>
      </c>
      <c r="O36" s="2">
        <f>I36*J36/60/M36</f>
        <v/>
      </c>
      <c r="P36" s="2">
        <f>K36/J36</f>
        <v/>
      </c>
      <c r="Q36" s="2">
        <f>N36*O36*P36</f>
        <v/>
      </c>
    </row>
    <row r="37">
      <c r="A37" t="inlineStr">
        <is>
          <t>2026-07-02</t>
        </is>
      </c>
      <c r="B37" t="inlineStr">
        <is>
          <t>주간</t>
        </is>
      </c>
      <c r="C37" t="inlineStr">
        <is>
          <t>P6</t>
        </is>
      </c>
      <c r="D37" t="inlineStr">
        <is>
          <t>포장</t>
        </is>
      </c>
      <c r="E37" t="inlineStr">
        <is>
          <t>PK-02</t>
        </is>
      </c>
      <c r="F37" t="n">
        <v>480</v>
      </c>
      <c r="G37" t="n">
        <v>27</v>
      </c>
      <c r="H37" t="inlineStr">
        <is>
          <t>라벨 교체</t>
        </is>
      </c>
      <c r="I37" t="n">
        <v>4.8</v>
      </c>
      <c r="J37" t="n">
        <v>5296</v>
      </c>
      <c r="K37" t="n">
        <v>5285</v>
      </c>
      <c r="L37" t="inlineStr">
        <is>
          <t>L-0701</t>
        </is>
      </c>
      <c r="M37">
        <f>F37-G37</f>
        <v/>
      </c>
      <c r="N37" s="2">
        <f>M37/F37</f>
        <v/>
      </c>
      <c r="O37" s="2">
        <f>I37*J37/60/M37</f>
        <v/>
      </c>
      <c r="P37" s="2">
        <f>K37/J37</f>
        <v/>
      </c>
      <c r="Q37" s="2">
        <f>N37*O37*P37</f>
        <v/>
      </c>
    </row>
    <row r="38">
      <c r="A38" t="inlineStr">
        <is>
          <t>2026-07-02</t>
        </is>
      </c>
      <c r="B38" t="inlineStr">
        <is>
          <t>야간</t>
        </is>
      </c>
      <c r="C38" t="inlineStr">
        <is>
          <t>P1</t>
        </is>
      </c>
      <c r="D38" t="inlineStr">
        <is>
          <t>원료혼합</t>
        </is>
      </c>
      <c r="E38" t="inlineStr">
        <is>
          <t>MX-01</t>
        </is>
      </c>
      <c r="F38" t="n">
        <v>480</v>
      </c>
      <c r="G38" t="n">
        <v>18</v>
      </c>
      <c r="H38" t="inlineStr">
        <is>
          <t>청소</t>
        </is>
      </c>
      <c r="I38" t="n">
        <v>5</v>
      </c>
      <c r="J38" t="n">
        <v>5340</v>
      </c>
      <c r="K38" t="n">
        <v>5301</v>
      </c>
      <c r="L38" t="inlineStr">
        <is>
          <t>L-0701</t>
        </is>
      </c>
      <c r="M38">
        <f>F38-G38</f>
        <v/>
      </c>
      <c r="N38" s="2">
        <f>M38/F38</f>
        <v/>
      </c>
      <c r="O38" s="2">
        <f>I38*J38/60/M38</f>
        <v/>
      </c>
      <c r="P38" s="2">
        <f>K38/J38</f>
        <v/>
      </c>
      <c r="Q38" s="2">
        <f>N38*O38*P38</f>
        <v/>
      </c>
    </row>
    <row r="39">
      <c r="A39" t="inlineStr">
        <is>
          <t>2026-07-02</t>
        </is>
      </c>
      <c r="B39" t="inlineStr">
        <is>
          <t>야간</t>
        </is>
      </c>
      <c r="C39" t="inlineStr">
        <is>
          <t>P1</t>
        </is>
      </c>
      <c r="D39" t="inlineStr">
        <is>
          <t>원료혼합</t>
        </is>
      </c>
      <c r="E39" t="inlineStr">
        <is>
          <t>MX-02</t>
        </is>
      </c>
      <c r="F39" t="n">
        <v>480</v>
      </c>
      <c r="G39" t="n">
        <v>6</v>
      </c>
      <c r="H39" t="inlineStr">
        <is>
          <t>청소</t>
        </is>
      </c>
      <c r="I39" t="n">
        <v>5</v>
      </c>
      <c r="J39" t="n">
        <v>5324</v>
      </c>
      <c r="K39" t="n">
        <v>5292</v>
      </c>
      <c r="L39" t="inlineStr">
        <is>
          <t>L-0701</t>
        </is>
      </c>
      <c r="M39">
        <f>F39-G39</f>
        <v/>
      </c>
      <c r="N39" s="2">
        <f>M39/F39</f>
        <v/>
      </c>
      <c r="O39" s="2">
        <f>I39*J39/60/M39</f>
        <v/>
      </c>
      <c r="P39" s="2">
        <f>K39/J39</f>
        <v/>
      </c>
      <c r="Q39" s="2">
        <f>N39*O39*P39</f>
        <v/>
      </c>
    </row>
    <row r="40">
      <c r="A40" t="inlineStr">
        <is>
          <t>2026-07-02</t>
        </is>
      </c>
      <c r="B40" t="inlineStr">
        <is>
          <t>야간</t>
        </is>
      </c>
      <c r="C40" t="inlineStr">
        <is>
          <t>P2</t>
        </is>
      </c>
      <c r="D40" t="inlineStr">
        <is>
          <t>성형</t>
        </is>
      </c>
      <c r="E40" t="inlineStr">
        <is>
          <t>PR-01</t>
        </is>
      </c>
      <c r="F40" t="n">
        <v>480</v>
      </c>
      <c r="G40" t="n">
        <v>28</v>
      </c>
      <c r="H40" t="inlineStr">
        <is>
          <t>금형 교체</t>
        </is>
      </c>
      <c r="I40" t="n">
        <v>6</v>
      </c>
      <c r="J40" t="n">
        <v>4322</v>
      </c>
      <c r="K40" t="n">
        <v>4275</v>
      </c>
      <c r="L40" t="inlineStr">
        <is>
          <t>L-0701</t>
        </is>
      </c>
      <c r="M40">
        <f>F40-G40</f>
        <v/>
      </c>
      <c r="N40" s="2">
        <f>M40/F40</f>
        <v/>
      </c>
      <c r="O40" s="2">
        <f>I40*J40/60/M40</f>
        <v/>
      </c>
      <c r="P40" s="2">
        <f>K40/J40</f>
        <v/>
      </c>
      <c r="Q40" s="2">
        <f>N40*O40*P40</f>
        <v/>
      </c>
    </row>
    <row r="41">
      <c r="A41" t="inlineStr">
        <is>
          <t>2026-07-02</t>
        </is>
      </c>
      <c r="B41" t="inlineStr">
        <is>
          <t>야간</t>
        </is>
      </c>
      <c r="C41" t="inlineStr">
        <is>
          <t>P2</t>
        </is>
      </c>
      <c r="D41" t="inlineStr">
        <is>
          <t>성형</t>
        </is>
      </c>
      <c r="E41" t="inlineStr">
        <is>
          <t>PR-02</t>
        </is>
      </c>
      <c r="F41" t="n">
        <v>480</v>
      </c>
      <c r="G41" t="n">
        <v>10</v>
      </c>
      <c r="H41" t="inlineStr">
        <is>
          <t>분말 공급 지연</t>
        </is>
      </c>
      <c r="I41" t="n">
        <v>6</v>
      </c>
      <c r="J41" t="n">
        <v>4387</v>
      </c>
      <c r="K41" t="n">
        <v>4350</v>
      </c>
      <c r="L41" t="inlineStr">
        <is>
          <t>L-0701</t>
        </is>
      </c>
      <c r="M41">
        <f>F41-G41</f>
        <v/>
      </c>
      <c r="N41" s="2">
        <f>M41/F41</f>
        <v/>
      </c>
      <c r="O41" s="2">
        <f>I41*J41/60/M41</f>
        <v/>
      </c>
      <c r="P41" s="2">
        <f>K41/J41</f>
        <v/>
      </c>
      <c r="Q41" s="2">
        <f>N41*O41*P41</f>
        <v/>
      </c>
    </row>
    <row r="42">
      <c r="A42" t="inlineStr">
        <is>
          <t>2026-07-02</t>
        </is>
      </c>
      <c r="B42" t="inlineStr">
        <is>
          <t>야간</t>
        </is>
      </c>
      <c r="C42" t="inlineStr">
        <is>
          <t>P3</t>
        </is>
      </c>
      <c r="D42" t="inlineStr">
        <is>
          <t>소결</t>
        </is>
      </c>
      <c r="E42" t="inlineStr">
        <is>
          <t>SF-01</t>
        </is>
      </c>
      <c r="F42" t="n">
        <v>480</v>
      </c>
      <c r="G42" t="n">
        <v>51</v>
      </c>
      <c r="H42" t="inlineStr">
        <is>
          <t>장입 대기</t>
        </is>
      </c>
      <c r="I42" t="n">
        <v>6.5</v>
      </c>
      <c r="J42" t="n">
        <v>3566</v>
      </c>
      <c r="K42" t="n">
        <v>3450</v>
      </c>
      <c r="L42" t="inlineStr">
        <is>
          <t>L-0701</t>
        </is>
      </c>
      <c r="M42">
        <f>F42-G42</f>
        <v/>
      </c>
      <c r="N42" s="2">
        <f>M42/F42</f>
        <v/>
      </c>
      <c r="O42" s="2">
        <f>I42*J42/60/M42</f>
        <v/>
      </c>
      <c r="P42" s="2">
        <f>K42/J42</f>
        <v/>
      </c>
      <c r="Q42" s="2">
        <f>N42*O42*P42</f>
        <v/>
      </c>
    </row>
    <row r="43">
      <c r="A43" t="inlineStr">
        <is>
          <t>2026-07-02</t>
        </is>
      </c>
      <c r="B43" t="inlineStr">
        <is>
          <t>야간</t>
        </is>
      </c>
      <c r="C43" t="inlineStr">
        <is>
          <t>P3</t>
        </is>
      </c>
      <c r="D43" t="inlineStr">
        <is>
          <t>소결</t>
        </is>
      </c>
      <c r="E43" t="inlineStr">
        <is>
          <t>SF-02</t>
        </is>
      </c>
      <c r="F43" t="n">
        <v>480</v>
      </c>
      <c r="G43" t="n">
        <v>42</v>
      </c>
      <c r="H43" t="inlineStr">
        <is>
          <t>승온 대기</t>
        </is>
      </c>
      <c r="I43" t="n">
        <v>6.5</v>
      </c>
      <c r="J43" t="n">
        <v>3746</v>
      </c>
      <c r="K43" t="n">
        <v>3667</v>
      </c>
      <c r="L43" t="inlineStr">
        <is>
          <t>L-0701</t>
        </is>
      </c>
      <c r="M43">
        <f>F43-G43</f>
        <v/>
      </c>
      <c r="N43" s="2">
        <f>M43/F43</f>
        <v/>
      </c>
      <c r="O43" s="2">
        <f>I43*J43/60/M43</f>
        <v/>
      </c>
      <c r="P43" s="2">
        <f>K43/J43</f>
        <v/>
      </c>
      <c r="Q43" s="2">
        <f>N43*O43*P43</f>
        <v/>
      </c>
    </row>
    <row r="44">
      <c r="A44" t="inlineStr">
        <is>
          <t>2026-07-02</t>
        </is>
      </c>
      <c r="B44" t="inlineStr">
        <is>
          <t>야간</t>
        </is>
      </c>
      <c r="C44" t="inlineStr">
        <is>
          <t>P4</t>
        </is>
      </c>
      <c r="D44" t="inlineStr">
        <is>
          <t>연삭</t>
        </is>
      </c>
      <c r="E44" t="inlineStr">
        <is>
          <t>GR-01</t>
        </is>
      </c>
      <c r="F44" t="n">
        <v>480</v>
      </c>
      <c r="G44" t="n">
        <v>83</v>
      </c>
      <c r="H44" t="inlineStr">
        <is>
          <t>드레싱</t>
        </is>
      </c>
      <c r="I44" t="n">
        <v>6.2</v>
      </c>
      <c r="J44" t="n">
        <v>3540</v>
      </c>
      <c r="K44" t="n">
        <v>3493</v>
      </c>
      <c r="L44" t="inlineStr">
        <is>
          <t>L-0701</t>
        </is>
      </c>
      <c r="M44">
        <f>F44-G44</f>
        <v/>
      </c>
      <c r="N44" s="2">
        <f>M44/F44</f>
        <v/>
      </c>
      <c r="O44" s="2">
        <f>I44*J44/60/M44</f>
        <v/>
      </c>
      <c r="P44" s="2">
        <f>K44/J44</f>
        <v/>
      </c>
      <c r="Q44" s="2">
        <f>N44*O44*P44</f>
        <v/>
      </c>
    </row>
    <row r="45">
      <c r="A45" t="inlineStr">
        <is>
          <t>2026-07-02</t>
        </is>
      </c>
      <c r="B45" t="inlineStr">
        <is>
          <t>야간</t>
        </is>
      </c>
      <c r="C45" t="inlineStr">
        <is>
          <t>P4</t>
        </is>
      </c>
      <c r="D45" t="inlineStr">
        <is>
          <t>연삭</t>
        </is>
      </c>
      <c r="E45" t="inlineStr">
        <is>
          <t>GR-02</t>
        </is>
      </c>
      <c r="F45" t="n">
        <v>480</v>
      </c>
      <c r="G45" t="n">
        <v>40</v>
      </c>
      <c r="H45" t="inlineStr">
        <is>
          <t>공구 교체</t>
        </is>
      </c>
      <c r="I45" t="n">
        <v>6.2</v>
      </c>
      <c r="J45" t="n">
        <v>3896</v>
      </c>
      <c r="K45" t="n">
        <v>3853</v>
      </c>
      <c r="L45" t="inlineStr">
        <is>
          <t>L-0701</t>
        </is>
      </c>
      <c r="M45">
        <f>F45-G45</f>
        <v/>
      </c>
      <c r="N45" s="2">
        <f>M45/F45</f>
        <v/>
      </c>
      <c r="O45" s="2">
        <f>I45*J45/60/M45</f>
        <v/>
      </c>
      <c r="P45" s="2">
        <f>K45/J45</f>
        <v/>
      </c>
      <c r="Q45" s="2">
        <f>N45*O45*P45</f>
        <v/>
      </c>
    </row>
    <row r="46">
      <c r="A46" t="inlineStr">
        <is>
          <t>2026-07-02</t>
        </is>
      </c>
      <c r="B46" t="inlineStr">
        <is>
          <t>야간</t>
        </is>
      </c>
      <c r="C46" t="inlineStr">
        <is>
          <t>P5</t>
        </is>
      </c>
      <c r="D46" t="inlineStr">
        <is>
          <t>검사</t>
        </is>
      </c>
      <c r="E46" t="inlineStr">
        <is>
          <t>IN-01</t>
        </is>
      </c>
      <c r="F46" t="n">
        <v>480</v>
      </c>
      <c r="G46" t="n">
        <v>45</v>
      </c>
      <c r="H46" t="inlineStr">
        <is>
          <t>샘플 재검</t>
        </is>
      </c>
      <c r="I46" t="n">
        <v>5.5</v>
      </c>
      <c r="J46" t="n">
        <v>4409</v>
      </c>
      <c r="K46" t="n">
        <v>4391</v>
      </c>
      <c r="L46" t="inlineStr">
        <is>
          <t>L-0701</t>
        </is>
      </c>
      <c r="M46">
        <f>F46-G46</f>
        <v/>
      </c>
      <c r="N46" s="2">
        <f>M46/F46</f>
        <v/>
      </c>
      <c r="O46" s="2">
        <f>I46*J46/60/M46</f>
        <v/>
      </c>
      <c r="P46" s="2">
        <f>K46/J46</f>
        <v/>
      </c>
      <c r="Q46" s="2">
        <f>N46*O46*P46</f>
        <v/>
      </c>
    </row>
    <row r="47">
      <c r="A47" t="inlineStr">
        <is>
          <t>2026-07-02</t>
        </is>
      </c>
      <c r="B47" t="inlineStr">
        <is>
          <t>야간</t>
        </is>
      </c>
      <c r="C47" t="inlineStr">
        <is>
          <t>P5</t>
        </is>
      </c>
      <c r="D47" t="inlineStr">
        <is>
          <t>검사</t>
        </is>
      </c>
      <c r="E47" t="inlineStr">
        <is>
          <t>IN-02</t>
        </is>
      </c>
      <c r="F47" t="n">
        <v>480</v>
      </c>
      <c r="G47" t="n">
        <v>17</v>
      </c>
      <c r="H47" t="inlineStr">
        <is>
          <t>측정기 교정</t>
        </is>
      </c>
      <c r="I47" t="n">
        <v>5.5</v>
      </c>
      <c r="J47" t="n">
        <v>4816</v>
      </c>
      <c r="K47" t="n">
        <v>4796</v>
      </c>
      <c r="L47" t="inlineStr">
        <is>
          <t>L-0701</t>
        </is>
      </c>
      <c r="M47">
        <f>F47-G47</f>
        <v/>
      </c>
      <c r="N47" s="2">
        <f>M47/F47</f>
        <v/>
      </c>
      <c r="O47" s="2">
        <f>I47*J47/60/M47</f>
        <v/>
      </c>
      <c r="P47" s="2">
        <f>K47/J47</f>
        <v/>
      </c>
      <c r="Q47" s="2">
        <f>N47*O47*P47</f>
        <v/>
      </c>
    </row>
    <row r="48">
      <c r="A48" t="inlineStr">
        <is>
          <t>2026-07-02</t>
        </is>
      </c>
      <c r="B48" t="inlineStr">
        <is>
          <t>야간</t>
        </is>
      </c>
      <c r="C48" t="inlineStr">
        <is>
          <t>P6</t>
        </is>
      </c>
      <c r="D48" t="inlineStr">
        <is>
          <t>포장</t>
        </is>
      </c>
      <c r="E48" t="inlineStr">
        <is>
          <t>PK-01</t>
        </is>
      </c>
      <c r="F48" t="n">
        <v>480</v>
      </c>
      <c r="G48" t="n">
        <v>24</v>
      </c>
      <c r="H48" t="inlineStr">
        <is>
          <t>자재 대기</t>
        </is>
      </c>
      <c r="I48" t="n">
        <v>4.8</v>
      </c>
      <c r="J48" t="n">
        <v>5210</v>
      </c>
      <c r="K48" t="n">
        <v>5193</v>
      </c>
      <c r="L48" t="inlineStr">
        <is>
          <t>L-0701</t>
        </is>
      </c>
      <c r="M48">
        <f>F48-G48</f>
        <v/>
      </c>
      <c r="N48" s="2">
        <f>M48/F48</f>
        <v/>
      </c>
      <c r="O48" s="2">
        <f>I48*J48/60/M48</f>
        <v/>
      </c>
      <c r="P48" s="2">
        <f>K48/J48</f>
        <v/>
      </c>
      <c r="Q48" s="2">
        <f>N48*O48*P48</f>
        <v/>
      </c>
    </row>
    <row r="49">
      <c r="A49" t="inlineStr">
        <is>
          <t>2026-07-02</t>
        </is>
      </c>
      <c r="B49" t="inlineStr">
        <is>
          <t>야간</t>
        </is>
      </c>
      <c r="C49" t="inlineStr">
        <is>
          <t>P6</t>
        </is>
      </c>
      <c r="D49" t="inlineStr">
        <is>
          <t>포장</t>
        </is>
      </c>
      <c r="E49" t="inlineStr">
        <is>
          <t>PK-02</t>
        </is>
      </c>
      <c r="F49" t="n">
        <v>480</v>
      </c>
      <c r="G49" t="n">
        <v>26</v>
      </c>
      <c r="H49" t="inlineStr">
        <is>
          <t>라벨 교체</t>
        </is>
      </c>
      <c r="I49" t="n">
        <v>4.8</v>
      </c>
      <c r="J49" t="n">
        <v>5466</v>
      </c>
      <c r="K49" t="n">
        <v>5447</v>
      </c>
      <c r="L49" t="inlineStr">
        <is>
          <t>L-0701</t>
        </is>
      </c>
      <c r="M49">
        <f>F49-G49</f>
        <v/>
      </c>
      <c r="N49" s="2">
        <f>M49/F49</f>
        <v/>
      </c>
      <c r="O49" s="2">
        <f>I49*J49/60/M49</f>
        <v/>
      </c>
      <c r="P49" s="2">
        <f>K49/J49</f>
        <v/>
      </c>
      <c r="Q49" s="2">
        <f>N49*O49*P49</f>
        <v/>
      </c>
    </row>
    <row r="50">
      <c r="A50" t="inlineStr">
        <is>
          <t>2026-07-03</t>
        </is>
      </c>
      <c r="B50" t="inlineStr">
        <is>
          <t>주간</t>
        </is>
      </c>
      <c r="C50" t="inlineStr">
        <is>
          <t>P1</t>
        </is>
      </c>
      <c r="D50" t="inlineStr">
        <is>
          <t>원료혼합</t>
        </is>
      </c>
      <c r="E50" t="inlineStr">
        <is>
          <t>MX-01</t>
        </is>
      </c>
      <c r="F50" t="n">
        <v>480</v>
      </c>
      <c r="G50" t="n">
        <v>49</v>
      </c>
      <c r="H50" t="inlineStr">
        <is>
          <t>원료 대기</t>
        </is>
      </c>
      <c r="I50" t="n">
        <v>5</v>
      </c>
      <c r="J50" t="n">
        <v>4899</v>
      </c>
      <c r="K50" t="n">
        <v>4863</v>
      </c>
      <c r="L50" t="inlineStr">
        <is>
          <t>L-0701</t>
        </is>
      </c>
      <c r="M50">
        <f>F50-G50</f>
        <v/>
      </c>
      <c r="N50" s="2">
        <f>M50/F50</f>
        <v/>
      </c>
      <c r="O50" s="2">
        <f>I50*J50/60/M50</f>
        <v/>
      </c>
      <c r="P50" s="2">
        <f>K50/J50</f>
        <v/>
      </c>
      <c r="Q50" s="2">
        <f>N50*O50*P50</f>
        <v/>
      </c>
    </row>
    <row r="51">
      <c r="A51" t="inlineStr">
        <is>
          <t>2026-07-03</t>
        </is>
      </c>
      <c r="B51" t="inlineStr">
        <is>
          <t>주간</t>
        </is>
      </c>
      <c r="C51" t="inlineStr">
        <is>
          <t>P1</t>
        </is>
      </c>
      <c r="D51" t="inlineStr">
        <is>
          <t>원료혼합</t>
        </is>
      </c>
      <c r="E51" t="inlineStr">
        <is>
          <t>MX-02</t>
        </is>
      </c>
      <c r="F51" t="n">
        <v>480</v>
      </c>
      <c r="G51" t="n">
        <v>34</v>
      </c>
      <c r="H51" t="inlineStr">
        <is>
          <t>원료 대기</t>
        </is>
      </c>
      <c r="I51" t="n">
        <v>5</v>
      </c>
      <c r="J51" t="n">
        <v>5132</v>
      </c>
      <c r="K51" t="n">
        <v>5100</v>
      </c>
      <c r="L51" t="inlineStr">
        <is>
          <t>L-0701</t>
        </is>
      </c>
      <c r="M51">
        <f>F51-G51</f>
        <v/>
      </c>
      <c r="N51" s="2">
        <f>M51/F51</f>
        <v/>
      </c>
      <c r="O51" s="2">
        <f>I51*J51/60/M51</f>
        <v/>
      </c>
      <c r="P51" s="2">
        <f>K51/J51</f>
        <v/>
      </c>
      <c r="Q51" s="2">
        <f>N51*O51*P51</f>
        <v/>
      </c>
    </row>
    <row r="52">
      <c r="A52" t="inlineStr">
        <is>
          <t>2026-07-03</t>
        </is>
      </c>
      <c r="B52" t="inlineStr">
        <is>
          <t>주간</t>
        </is>
      </c>
      <c r="C52" t="inlineStr">
        <is>
          <t>P2</t>
        </is>
      </c>
      <c r="D52" t="inlineStr">
        <is>
          <t>성형</t>
        </is>
      </c>
      <c r="E52" t="inlineStr">
        <is>
          <t>PR-01</t>
        </is>
      </c>
      <c r="F52" t="n">
        <v>480</v>
      </c>
      <c r="G52" t="n">
        <v>23</v>
      </c>
      <c r="H52" t="inlineStr">
        <is>
          <t>금형 교체</t>
        </is>
      </c>
      <c r="I52" t="n">
        <v>6</v>
      </c>
      <c r="J52" t="n">
        <v>4507</v>
      </c>
      <c r="K52" t="n">
        <v>4465</v>
      </c>
      <c r="L52" t="inlineStr">
        <is>
          <t>L-0701</t>
        </is>
      </c>
      <c r="M52">
        <f>F52-G52</f>
        <v/>
      </c>
      <c r="N52" s="2">
        <f>M52/F52</f>
        <v/>
      </c>
      <c r="O52" s="2">
        <f>I52*J52/60/M52</f>
        <v/>
      </c>
      <c r="P52" s="2">
        <f>K52/J52</f>
        <v/>
      </c>
      <c r="Q52" s="2">
        <f>N52*O52*P52</f>
        <v/>
      </c>
    </row>
    <row r="53">
      <c r="A53" t="inlineStr">
        <is>
          <t>2026-07-03</t>
        </is>
      </c>
      <c r="B53" t="inlineStr">
        <is>
          <t>주간</t>
        </is>
      </c>
      <c r="C53" t="inlineStr">
        <is>
          <t>P2</t>
        </is>
      </c>
      <c r="D53" t="inlineStr">
        <is>
          <t>성형</t>
        </is>
      </c>
      <c r="E53" t="inlineStr">
        <is>
          <t>PR-02</t>
        </is>
      </c>
      <c r="F53" t="n">
        <v>480</v>
      </c>
      <c r="G53" t="n">
        <v>16</v>
      </c>
      <c r="H53" t="inlineStr">
        <is>
          <t>분말 공급 지연</t>
        </is>
      </c>
      <c r="I53" t="n">
        <v>6</v>
      </c>
      <c r="J53" t="n">
        <v>4265</v>
      </c>
      <c r="K53" t="n">
        <v>4223</v>
      </c>
      <c r="L53" t="inlineStr">
        <is>
          <t>L-0701</t>
        </is>
      </c>
      <c r="M53">
        <f>F53-G53</f>
        <v/>
      </c>
      <c r="N53" s="2">
        <f>M53/F53</f>
        <v/>
      </c>
      <c r="O53" s="2">
        <f>I53*J53/60/M53</f>
        <v/>
      </c>
      <c r="P53" s="2">
        <f>K53/J53</f>
        <v/>
      </c>
      <c r="Q53" s="2">
        <f>N53*O53*P53</f>
        <v/>
      </c>
    </row>
    <row r="54">
      <c r="A54" t="inlineStr">
        <is>
          <t>2026-07-03</t>
        </is>
      </c>
      <c r="B54" t="inlineStr">
        <is>
          <t>주간</t>
        </is>
      </c>
      <c r="C54" t="inlineStr">
        <is>
          <t>P3</t>
        </is>
      </c>
      <c r="D54" t="inlineStr">
        <is>
          <t>소결</t>
        </is>
      </c>
      <c r="E54" t="inlineStr">
        <is>
          <t>SF-01</t>
        </is>
      </c>
      <c r="F54" t="n">
        <v>480</v>
      </c>
      <c r="G54" t="n">
        <v>54</v>
      </c>
      <c r="H54" t="inlineStr">
        <is>
          <t>장입 대기</t>
        </is>
      </c>
      <c r="I54" t="n">
        <v>6.5</v>
      </c>
      <c r="J54" t="n">
        <v>3574</v>
      </c>
      <c r="K54" t="n">
        <v>3518</v>
      </c>
      <c r="L54" t="inlineStr">
        <is>
          <t>L-0701</t>
        </is>
      </c>
      <c r="M54">
        <f>F54-G54</f>
        <v/>
      </c>
      <c r="N54" s="2">
        <f>M54/F54</f>
        <v/>
      </c>
      <c r="O54" s="2">
        <f>I54*J54/60/M54</f>
        <v/>
      </c>
      <c r="P54" s="2">
        <f>K54/J54</f>
        <v/>
      </c>
      <c r="Q54" s="2">
        <f>N54*O54*P54</f>
        <v/>
      </c>
    </row>
    <row r="55">
      <c r="A55" t="inlineStr">
        <is>
          <t>2026-07-03</t>
        </is>
      </c>
      <c r="B55" t="inlineStr">
        <is>
          <t>주간</t>
        </is>
      </c>
      <c r="C55" t="inlineStr">
        <is>
          <t>P3</t>
        </is>
      </c>
      <c r="D55" t="inlineStr">
        <is>
          <t>소결</t>
        </is>
      </c>
      <c r="E55" t="inlineStr">
        <is>
          <t>SF-02</t>
        </is>
      </c>
      <c r="F55" t="n">
        <v>480</v>
      </c>
      <c r="G55" t="n">
        <v>72</v>
      </c>
      <c r="H55" t="inlineStr">
        <is>
          <t>승온 대기</t>
        </is>
      </c>
      <c r="I55" t="n">
        <v>6.5</v>
      </c>
      <c r="J55" t="n">
        <v>3515</v>
      </c>
      <c r="K55" t="n">
        <v>3452</v>
      </c>
      <c r="L55" t="inlineStr">
        <is>
          <t>L-0701</t>
        </is>
      </c>
      <c r="M55">
        <f>F55-G55</f>
        <v/>
      </c>
      <c r="N55" s="2">
        <f>M55/F55</f>
        <v/>
      </c>
      <c r="O55" s="2">
        <f>I55*J55/60/M55</f>
        <v/>
      </c>
      <c r="P55" s="2">
        <f>K55/J55</f>
        <v/>
      </c>
      <c r="Q55" s="2">
        <f>N55*O55*P55</f>
        <v/>
      </c>
    </row>
    <row r="56">
      <c r="A56" t="inlineStr">
        <is>
          <t>2026-07-03</t>
        </is>
      </c>
      <c r="B56" t="inlineStr">
        <is>
          <t>주간</t>
        </is>
      </c>
      <c r="C56" t="inlineStr">
        <is>
          <t>P4</t>
        </is>
      </c>
      <c r="D56" t="inlineStr">
        <is>
          <t>연삭</t>
        </is>
      </c>
      <c r="E56" t="inlineStr">
        <is>
          <t>GR-01</t>
        </is>
      </c>
      <c r="F56" t="n">
        <v>480</v>
      </c>
      <c r="G56" t="n">
        <v>93</v>
      </c>
      <c r="H56" t="inlineStr">
        <is>
          <t>공구 교체</t>
        </is>
      </c>
      <c r="I56" t="n">
        <v>6.2</v>
      </c>
      <c r="J56" t="n">
        <v>3606</v>
      </c>
      <c r="K56" t="n">
        <v>3571</v>
      </c>
      <c r="L56" t="inlineStr">
        <is>
          <t>L-0701</t>
        </is>
      </c>
      <c r="M56">
        <f>F56-G56</f>
        <v/>
      </c>
      <c r="N56" s="2">
        <f>M56/F56</f>
        <v/>
      </c>
      <c r="O56" s="2">
        <f>I56*J56/60/M56</f>
        <v/>
      </c>
      <c r="P56" s="2">
        <f>K56/J56</f>
        <v/>
      </c>
      <c r="Q56" s="2">
        <f>N56*O56*P56</f>
        <v/>
      </c>
    </row>
    <row r="57">
      <c r="A57" t="inlineStr">
        <is>
          <t>2026-07-03</t>
        </is>
      </c>
      <c r="B57" t="inlineStr">
        <is>
          <t>주간</t>
        </is>
      </c>
      <c r="C57" t="inlineStr">
        <is>
          <t>P4</t>
        </is>
      </c>
      <c r="D57" t="inlineStr">
        <is>
          <t>연삭</t>
        </is>
      </c>
      <c r="E57" t="inlineStr">
        <is>
          <t>GR-02</t>
        </is>
      </c>
      <c r="F57" t="n">
        <v>480</v>
      </c>
      <c r="G57" t="n">
        <v>45</v>
      </c>
      <c r="H57" t="inlineStr">
        <is>
          <t>공구 교체</t>
        </is>
      </c>
      <c r="I57" t="n">
        <v>6.2</v>
      </c>
      <c r="J57" t="n">
        <v>3880</v>
      </c>
      <c r="K57" t="n">
        <v>3837</v>
      </c>
      <c r="L57" t="inlineStr">
        <is>
          <t>L-0701</t>
        </is>
      </c>
      <c r="M57">
        <f>F57-G57</f>
        <v/>
      </c>
      <c r="N57" s="2">
        <f>M57/F57</f>
        <v/>
      </c>
      <c r="O57" s="2">
        <f>I57*J57/60/M57</f>
        <v/>
      </c>
      <c r="P57" s="2">
        <f>K57/J57</f>
        <v/>
      </c>
      <c r="Q57" s="2">
        <f>N57*O57*P57</f>
        <v/>
      </c>
    </row>
    <row r="58">
      <c r="A58" t="inlineStr">
        <is>
          <t>2026-07-03</t>
        </is>
      </c>
      <c r="B58" t="inlineStr">
        <is>
          <t>주간</t>
        </is>
      </c>
      <c r="C58" t="inlineStr">
        <is>
          <t>P5</t>
        </is>
      </c>
      <c r="D58" t="inlineStr">
        <is>
          <t>검사</t>
        </is>
      </c>
      <c r="E58" t="inlineStr">
        <is>
          <t>IN-01</t>
        </is>
      </c>
      <c r="F58" t="n">
        <v>480</v>
      </c>
      <c r="G58" t="n">
        <v>28</v>
      </c>
      <c r="H58" t="inlineStr">
        <is>
          <t>샘플 재검</t>
        </is>
      </c>
      <c r="I58" t="n">
        <v>5.5</v>
      </c>
      <c r="J58" t="n">
        <v>4579</v>
      </c>
      <c r="K58" t="n">
        <v>4565</v>
      </c>
      <c r="L58" t="inlineStr">
        <is>
          <t>L-0701</t>
        </is>
      </c>
      <c r="M58">
        <f>F58-G58</f>
        <v/>
      </c>
      <c r="N58" s="2">
        <f>M58/F58</f>
        <v/>
      </c>
      <c r="O58" s="2">
        <f>I58*J58/60/M58</f>
        <v/>
      </c>
      <c r="P58" s="2">
        <f>K58/J58</f>
        <v/>
      </c>
      <c r="Q58" s="2">
        <f>N58*O58*P58</f>
        <v/>
      </c>
    </row>
    <row r="59">
      <c r="A59" t="inlineStr">
        <is>
          <t>2026-07-03</t>
        </is>
      </c>
      <c r="B59" t="inlineStr">
        <is>
          <t>주간</t>
        </is>
      </c>
      <c r="C59" t="inlineStr">
        <is>
          <t>P5</t>
        </is>
      </c>
      <c r="D59" t="inlineStr">
        <is>
          <t>검사</t>
        </is>
      </c>
      <c r="E59" t="inlineStr">
        <is>
          <t>IN-02</t>
        </is>
      </c>
      <c r="F59" t="n">
        <v>480</v>
      </c>
      <c r="G59" t="n">
        <v>6</v>
      </c>
      <c r="H59" t="inlineStr">
        <is>
          <t>측정기 교정</t>
        </is>
      </c>
      <c r="I59" t="n">
        <v>5.5</v>
      </c>
      <c r="J59" t="n">
        <v>4818</v>
      </c>
      <c r="K59" t="n">
        <v>4806</v>
      </c>
      <c r="L59" t="inlineStr">
        <is>
          <t>L-0701</t>
        </is>
      </c>
      <c r="M59">
        <f>F59-G59</f>
        <v/>
      </c>
      <c r="N59" s="2">
        <f>M59/F59</f>
        <v/>
      </c>
      <c r="O59" s="2">
        <f>I59*J59/60/M59</f>
        <v/>
      </c>
      <c r="P59" s="2">
        <f>K59/J59</f>
        <v/>
      </c>
      <c r="Q59" s="2">
        <f>N59*O59*P59</f>
        <v/>
      </c>
    </row>
    <row r="60">
      <c r="A60" t="inlineStr">
        <is>
          <t>2026-07-03</t>
        </is>
      </c>
      <c r="B60" t="inlineStr">
        <is>
          <t>주간</t>
        </is>
      </c>
      <c r="C60" t="inlineStr">
        <is>
          <t>P6</t>
        </is>
      </c>
      <c r="D60" t="inlineStr">
        <is>
          <t>포장</t>
        </is>
      </c>
      <c r="E60" t="inlineStr">
        <is>
          <t>PK-01</t>
        </is>
      </c>
      <c r="F60" t="n">
        <v>480</v>
      </c>
      <c r="G60" t="n">
        <v>11</v>
      </c>
      <c r="H60" t="inlineStr">
        <is>
          <t>라벨 교체</t>
        </is>
      </c>
      <c r="I60" t="n">
        <v>4.8</v>
      </c>
      <c r="J60" t="n">
        <v>5248</v>
      </c>
      <c r="K60" t="n">
        <v>5237</v>
      </c>
      <c r="L60" t="inlineStr">
        <is>
          <t>L-0701</t>
        </is>
      </c>
      <c r="M60">
        <f>F60-G60</f>
        <v/>
      </c>
      <c r="N60" s="2">
        <f>M60/F60</f>
        <v/>
      </c>
      <c r="O60" s="2">
        <f>I60*J60/60/M60</f>
        <v/>
      </c>
      <c r="P60" s="2">
        <f>K60/J60</f>
        <v/>
      </c>
      <c r="Q60" s="2">
        <f>N60*O60*P60</f>
        <v/>
      </c>
    </row>
    <row r="61">
      <c r="A61" t="inlineStr">
        <is>
          <t>2026-07-03</t>
        </is>
      </c>
      <c r="B61" t="inlineStr">
        <is>
          <t>주간</t>
        </is>
      </c>
      <c r="C61" t="inlineStr">
        <is>
          <t>P6</t>
        </is>
      </c>
      <c r="D61" t="inlineStr">
        <is>
          <t>포장</t>
        </is>
      </c>
      <c r="E61" t="inlineStr">
        <is>
          <t>PK-02</t>
        </is>
      </c>
      <c r="F61" t="n">
        <v>480</v>
      </c>
      <c r="G61" t="n">
        <v>73</v>
      </c>
      <c r="H61" t="inlineStr">
        <is>
          <t>라벨 교체</t>
        </is>
      </c>
      <c r="I61" t="n">
        <v>4.8</v>
      </c>
      <c r="J61" t="n">
        <v>4899</v>
      </c>
      <c r="K61" t="n">
        <v>4889</v>
      </c>
      <c r="L61" t="inlineStr">
        <is>
          <t>L-0701</t>
        </is>
      </c>
      <c r="M61">
        <f>F61-G61</f>
        <v/>
      </c>
      <c r="N61" s="2">
        <f>M61/F61</f>
        <v/>
      </c>
      <c r="O61" s="2">
        <f>I61*J61/60/M61</f>
        <v/>
      </c>
      <c r="P61" s="2">
        <f>K61/J61</f>
        <v/>
      </c>
      <c r="Q61" s="2">
        <f>N61*O61*P61</f>
        <v/>
      </c>
    </row>
    <row r="62">
      <c r="A62" t="inlineStr">
        <is>
          <t>2026-07-03</t>
        </is>
      </c>
      <c r="B62" t="inlineStr">
        <is>
          <t>야간</t>
        </is>
      </c>
      <c r="C62" t="inlineStr">
        <is>
          <t>P1</t>
        </is>
      </c>
      <c r="D62" t="inlineStr">
        <is>
          <t>원료혼합</t>
        </is>
      </c>
      <c r="E62" t="inlineStr">
        <is>
          <t>MX-01</t>
        </is>
      </c>
      <c r="F62" t="n">
        <v>480</v>
      </c>
      <c r="G62" t="n">
        <v>24</v>
      </c>
      <c r="H62" t="inlineStr">
        <is>
          <t>원료 대기</t>
        </is>
      </c>
      <c r="I62" t="n">
        <v>5</v>
      </c>
      <c r="J62" t="n">
        <v>4884</v>
      </c>
      <c r="K62" t="n">
        <v>4843</v>
      </c>
      <c r="L62" t="inlineStr">
        <is>
          <t>L-0701</t>
        </is>
      </c>
      <c r="M62">
        <f>F62-G62</f>
        <v/>
      </c>
      <c r="N62" s="2">
        <f>M62/F62</f>
        <v/>
      </c>
      <c r="O62" s="2">
        <f>I62*J62/60/M62</f>
        <v/>
      </c>
      <c r="P62" s="2">
        <f>K62/J62</f>
        <v/>
      </c>
      <c r="Q62" s="2">
        <f>N62*O62*P62</f>
        <v/>
      </c>
    </row>
    <row r="63">
      <c r="A63" t="inlineStr">
        <is>
          <t>2026-07-03</t>
        </is>
      </c>
      <c r="B63" t="inlineStr">
        <is>
          <t>야간</t>
        </is>
      </c>
      <c r="C63" t="inlineStr">
        <is>
          <t>P1</t>
        </is>
      </c>
      <c r="D63" t="inlineStr">
        <is>
          <t>원료혼합</t>
        </is>
      </c>
      <c r="E63" t="inlineStr">
        <is>
          <t>MX-02</t>
        </is>
      </c>
      <c r="F63" t="n">
        <v>480</v>
      </c>
      <c r="G63" t="n">
        <v>21</v>
      </c>
      <c r="H63" t="inlineStr">
        <is>
          <t>청소</t>
        </is>
      </c>
      <c r="I63" t="n">
        <v>5</v>
      </c>
      <c r="J63" t="n">
        <v>5142</v>
      </c>
      <c r="K63" t="n">
        <v>5107</v>
      </c>
      <c r="L63" t="inlineStr">
        <is>
          <t>L-0701</t>
        </is>
      </c>
      <c r="M63">
        <f>F63-G63</f>
        <v/>
      </c>
      <c r="N63" s="2">
        <f>M63/F63</f>
        <v/>
      </c>
      <c r="O63" s="2">
        <f>I63*J63/60/M63</f>
        <v/>
      </c>
      <c r="P63" s="2">
        <f>K63/J63</f>
        <v/>
      </c>
      <c r="Q63" s="2">
        <f>N63*O63*P63</f>
        <v/>
      </c>
    </row>
    <row r="64">
      <c r="A64" t="inlineStr">
        <is>
          <t>2026-07-03</t>
        </is>
      </c>
      <c r="B64" t="inlineStr">
        <is>
          <t>야간</t>
        </is>
      </c>
      <c r="C64" t="inlineStr">
        <is>
          <t>P2</t>
        </is>
      </c>
      <c r="D64" t="inlineStr">
        <is>
          <t>성형</t>
        </is>
      </c>
      <c r="E64" t="inlineStr">
        <is>
          <t>PR-01</t>
        </is>
      </c>
      <c r="F64" t="n">
        <v>480</v>
      </c>
      <c r="G64" t="n">
        <v>43</v>
      </c>
      <c r="H64" t="inlineStr">
        <is>
          <t>금형 교체</t>
        </is>
      </c>
      <c r="I64" t="n">
        <v>6</v>
      </c>
      <c r="J64" t="n">
        <v>3649</v>
      </c>
      <c r="K64" t="n">
        <v>3599</v>
      </c>
      <c r="L64" t="inlineStr">
        <is>
          <t>L-0701</t>
        </is>
      </c>
      <c r="M64">
        <f>F64-G64</f>
        <v/>
      </c>
      <c r="N64" s="2">
        <f>M64/F64</f>
        <v/>
      </c>
      <c r="O64" s="2">
        <f>I64*J64/60/M64</f>
        <v/>
      </c>
      <c r="P64" s="2">
        <f>K64/J64</f>
        <v/>
      </c>
      <c r="Q64" s="2">
        <f>N64*O64*P64</f>
        <v/>
      </c>
    </row>
    <row r="65">
      <c r="A65" t="inlineStr">
        <is>
          <t>2026-07-03</t>
        </is>
      </c>
      <c r="B65" t="inlineStr">
        <is>
          <t>야간</t>
        </is>
      </c>
      <c r="C65" t="inlineStr">
        <is>
          <t>P2</t>
        </is>
      </c>
      <c r="D65" t="inlineStr">
        <is>
          <t>성형</t>
        </is>
      </c>
      <c r="E65" t="inlineStr">
        <is>
          <t>PR-02</t>
        </is>
      </c>
      <c r="F65" t="n">
        <v>480</v>
      </c>
      <c r="G65" t="n">
        <v>6</v>
      </c>
      <c r="H65" t="inlineStr">
        <is>
          <t>분말 공급 지연</t>
        </is>
      </c>
      <c r="I65" t="n">
        <v>6</v>
      </c>
      <c r="J65" t="n">
        <v>4396</v>
      </c>
      <c r="K65" t="n">
        <v>4350</v>
      </c>
      <c r="L65" t="inlineStr">
        <is>
          <t>L-0701</t>
        </is>
      </c>
      <c r="M65">
        <f>F65-G65</f>
        <v/>
      </c>
      <c r="N65" s="2">
        <f>M65/F65</f>
        <v/>
      </c>
      <c r="O65" s="2">
        <f>I65*J65/60/M65</f>
        <v/>
      </c>
      <c r="P65" s="2">
        <f>K65/J65</f>
        <v/>
      </c>
      <c r="Q65" s="2">
        <f>N65*O65*P65</f>
        <v/>
      </c>
    </row>
    <row r="66">
      <c r="A66" t="inlineStr">
        <is>
          <t>2026-07-03</t>
        </is>
      </c>
      <c r="B66" t="inlineStr">
        <is>
          <t>야간</t>
        </is>
      </c>
      <c r="C66" t="inlineStr">
        <is>
          <t>P3</t>
        </is>
      </c>
      <c r="D66" t="inlineStr">
        <is>
          <t>소결</t>
        </is>
      </c>
      <c r="E66" t="inlineStr">
        <is>
          <t>SF-01</t>
        </is>
      </c>
      <c r="F66" t="n">
        <v>480</v>
      </c>
      <c r="G66" t="n">
        <v>52</v>
      </c>
      <c r="H66" t="inlineStr">
        <is>
          <t>승온 대기</t>
        </is>
      </c>
      <c r="I66" t="n">
        <v>6.5</v>
      </c>
      <c r="J66" t="n">
        <v>3714</v>
      </c>
      <c r="K66" t="n">
        <v>3646</v>
      </c>
      <c r="L66" t="inlineStr">
        <is>
          <t>L-0701</t>
        </is>
      </c>
      <c r="M66">
        <f>F66-G66</f>
        <v/>
      </c>
      <c r="N66" s="2">
        <f>M66/F66</f>
        <v/>
      </c>
      <c r="O66" s="2">
        <f>I66*J66/60/M66</f>
        <v/>
      </c>
      <c r="P66" s="2">
        <f>K66/J66</f>
        <v/>
      </c>
      <c r="Q66" s="2">
        <f>N66*O66*P66</f>
        <v/>
      </c>
    </row>
    <row r="67">
      <c r="A67" t="inlineStr">
        <is>
          <t>2026-07-03</t>
        </is>
      </c>
      <c r="B67" t="inlineStr">
        <is>
          <t>야간</t>
        </is>
      </c>
      <c r="C67" t="inlineStr">
        <is>
          <t>P3</t>
        </is>
      </c>
      <c r="D67" t="inlineStr">
        <is>
          <t>소결</t>
        </is>
      </c>
      <c r="E67" t="inlineStr">
        <is>
          <t>SF-02</t>
        </is>
      </c>
      <c r="F67" t="n">
        <v>480</v>
      </c>
      <c r="G67" t="n">
        <v>38</v>
      </c>
      <c r="H67" t="inlineStr">
        <is>
          <t>승온 대기</t>
        </is>
      </c>
      <c r="I67" t="n">
        <v>6.5</v>
      </c>
      <c r="J67" t="n">
        <v>3762</v>
      </c>
      <c r="K67" t="n">
        <v>3646</v>
      </c>
      <c r="L67" t="inlineStr">
        <is>
          <t>L-0701</t>
        </is>
      </c>
      <c r="M67">
        <f>F67-G67</f>
        <v/>
      </c>
      <c r="N67" s="2">
        <f>M67/F67</f>
        <v/>
      </c>
      <c r="O67" s="2">
        <f>I67*J67/60/M67</f>
        <v/>
      </c>
      <c r="P67" s="2">
        <f>K67/J67</f>
        <v/>
      </c>
      <c r="Q67" s="2">
        <f>N67*O67*P67</f>
        <v/>
      </c>
    </row>
    <row r="68">
      <c r="A68" t="inlineStr">
        <is>
          <t>2026-07-03</t>
        </is>
      </c>
      <c r="B68" t="inlineStr">
        <is>
          <t>야간</t>
        </is>
      </c>
      <c r="C68" t="inlineStr">
        <is>
          <t>P4</t>
        </is>
      </c>
      <c r="D68" t="inlineStr">
        <is>
          <t>연삭</t>
        </is>
      </c>
      <c r="E68" t="inlineStr">
        <is>
          <t>GR-01</t>
        </is>
      </c>
      <c r="F68" t="n">
        <v>480</v>
      </c>
      <c r="G68" t="n">
        <v>25</v>
      </c>
      <c r="H68" t="inlineStr">
        <is>
          <t>공구 교체</t>
        </is>
      </c>
      <c r="I68" t="n">
        <v>6.2</v>
      </c>
      <c r="J68" t="n">
        <v>4077</v>
      </c>
      <c r="K68" t="n">
        <v>4036</v>
      </c>
      <c r="L68" t="inlineStr">
        <is>
          <t>L-0701</t>
        </is>
      </c>
      <c r="M68">
        <f>F68-G68</f>
        <v/>
      </c>
      <c r="N68" s="2">
        <f>M68/F68</f>
        <v/>
      </c>
      <c r="O68" s="2">
        <f>I68*J68/60/M68</f>
        <v/>
      </c>
      <c r="P68" s="2">
        <f>K68/J68</f>
        <v/>
      </c>
      <c r="Q68" s="2">
        <f>N68*O68*P68</f>
        <v/>
      </c>
    </row>
    <row r="69">
      <c r="A69" t="inlineStr">
        <is>
          <t>2026-07-03</t>
        </is>
      </c>
      <c r="B69" t="inlineStr">
        <is>
          <t>야간</t>
        </is>
      </c>
      <c r="C69" t="inlineStr">
        <is>
          <t>P4</t>
        </is>
      </c>
      <c r="D69" t="inlineStr">
        <is>
          <t>연삭</t>
        </is>
      </c>
      <c r="E69" t="inlineStr">
        <is>
          <t>GR-02</t>
        </is>
      </c>
      <c r="F69" t="n">
        <v>480</v>
      </c>
      <c r="G69" t="n">
        <v>92</v>
      </c>
      <c r="H69" t="inlineStr">
        <is>
          <t>공구 교체</t>
        </is>
      </c>
      <c r="I69" t="n">
        <v>6.2</v>
      </c>
      <c r="J69" t="n">
        <v>3409</v>
      </c>
      <c r="K69" t="n">
        <v>3368</v>
      </c>
      <c r="L69" t="inlineStr">
        <is>
          <t>L-0701</t>
        </is>
      </c>
      <c r="M69">
        <f>F69-G69</f>
        <v/>
      </c>
      <c r="N69" s="2">
        <f>M69/F69</f>
        <v/>
      </c>
      <c r="O69" s="2">
        <f>I69*J69/60/M69</f>
        <v/>
      </c>
      <c r="P69" s="2">
        <f>K69/J69</f>
        <v/>
      </c>
      <c r="Q69" s="2">
        <f>N69*O69*P69</f>
        <v/>
      </c>
    </row>
    <row r="70">
      <c r="A70" t="inlineStr">
        <is>
          <t>2026-07-03</t>
        </is>
      </c>
      <c r="B70" t="inlineStr">
        <is>
          <t>야간</t>
        </is>
      </c>
      <c r="C70" t="inlineStr">
        <is>
          <t>P5</t>
        </is>
      </c>
      <c r="D70" t="inlineStr">
        <is>
          <t>검사</t>
        </is>
      </c>
      <c r="E70" t="inlineStr">
        <is>
          <t>IN-01</t>
        </is>
      </c>
      <c r="F70" t="n">
        <v>480</v>
      </c>
      <c r="G70" t="n">
        <v>25</v>
      </c>
      <c r="H70" t="inlineStr">
        <is>
          <t>측정기 교정</t>
        </is>
      </c>
      <c r="I70" t="n">
        <v>5.5</v>
      </c>
      <c r="J70" t="n">
        <v>4605</v>
      </c>
      <c r="K70" t="n">
        <v>4588</v>
      </c>
      <c r="L70" t="inlineStr">
        <is>
          <t>L-0701</t>
        </is>
      </c>
      <c r="M70">
        <f>F70-G70</f>
        <v/>
      </c>
      <c r="N70" s="2">
        <f>M70/F70</f>
        <v/>
      </c>
      <c r="O70" s="2">
        <f>I70*J70/60/M70</f>
        <v/>
      </c>
      <c r="P70" s="2">
        <f>K70/J70</f>
        <v/>
      </c>
      <c r="Q70" s="2">
        <f>N70*O70*P70</f>
        <v/>
      </c>
    </row>
    <row r="71">
      <c r="A71" t="inlineStr">
        <is>
          <t>2026-07-03</t>
        </is>
      </c>
      <c r="B71" t="inlineStr">
        <is>
          <t>야간</t>
        </is>
      </c>
      <c r="C71" t="inlineStr">
        <is>
          <t>P5</t>
        </is>
      </c>
      <c r="D71" t="inlineStr">
        <is>
          <t>검사</t>
        </is>
      </c>
      <c r="E71" t="inlineStr">
        <is>
          <t>IN-02</t>
        </is>
      </c>
      <c r="F71" t="n">
        <v>480</v>
      </c>
      <c r="G71" t="n">
        <v>8</v>
      </c>
      <c r="H71" t="inlineStr">
        <is>
          <t>샘플 재검</t>
        </is>
      </c>
      <c r="I71" t="n">
        <v>5.5</v>
      </c>
      <c r="J71" t="n">
        <v>4784</v>
      </c>
      <c r="K71" t="n">
        <v>4765</v>
      </c>
      <c r="L71" t="inlineStr">
        <is>
          <t>L-0701</t>
        </is>
      </c>
      <c r="M71">
        <f>F71-G71</f>
        <v/>
      </c>
      <c r="N71" s="2">
        <f>M71/F71</f>
        <v/>
      </c>
      <c r="O71" s="2">
        <f>I71*J71/60/M71</f>
        <v/>
      </c>
      <c r="P71" s="2">
        <f>K71/J71</f>
        <v/>
      </c>
      <c r="Q71" s="2">
        <f>N71*O71*P71</f>
        <v/>
      </c>
    </row>
    <row r="72">
      <c r="A72" t="inlineStr">
        <is>
          <t>2026-07-03</t>
        </is>
      </c>
      <c r="B72" t="inlineStr">
        <is>
          <t>야간</t>
        </is>
      </c>
      <c r="C72" t="inlineStr">
        <is>
          <t>P6</t>
        </is>
      </c>
      <c r="D72" t="inlineStr">
        <is>
          <t>포장</t>
        </is>
      </c>
      <c r="E72" t="inlineStr">
        <is>
          <t>PK-01</t>
        </is>
      </c>
      <c r="F72" t="n">
        <v>480</v>
      </c>
      <c r="G72" t="n">
        <v>42</v>
      </c>
      <c r="H72" t="inlineStr">
        <is>
          <t>라벨 교체</t>
        </is>
      </c>
      <c r="I72" t="n">
        <v>4.8</v>
      </c>
      <c r="J72" t="n">
        <v>4965</v>
      </c>
      <c r="K72" t="n">
        <v>4949</v>
      </c>
      <c r="L72" t="inlineStr">
        <is>
          <t>L-0701</t>
        </is>
      </c>
      <c r="M72">
        <f>F72-G72</f>
        <v/>
      </c>
      <c r="N72" s="2">
        <f>M72/F72</f>
        <v/>
      </c>
      <c r="O72" s="2">
        <f>I72*J72/60/M72</f>
        <v/>
      </c>
      <c r="P72" s="2">
        <f>K72/J72</f>
        <v/>
      </c>
      <c r="Q72" s="2">
        <f>N72*O72*P72</f>
        <v/>
      </c>
    </row>
    <row r="73">
      <c r="A73" t="inlineStr">
        <is>
          <t>2026-07-03</t>
        </is>
      </c>
      <c r="B73" t="inlineStr">
        <is>
          <t>야간</t>
        </is>
      </c>
      <c r="C73" t="inlineStr">
        <is>
          <t>P6</t>
        </is>
      </c>
      <c r="D73" t="inlineStr">
        <is>
          <t>포장</t>
        </is>
      </c>
      <c r="E73" t="inlineStr">
        <is>
          <t>PK-02</t>
        </is>
      </c>
      <c r="F73" t="n">
        <v>480</v>
      </c>
      <c r="G73" t="n">
        <v>7</v>
      </c>
      <c r="H73" t="inlineStr">
        <is>
          <t>라벨 교체</t>
        </is>
      </c>
      <c r="I73" t="n">
        <v>4.8</v>
      </c>
      <c r="J73" t="n">
        <v>5409</v>
      </c>
      <c r="K73" t="n">
        <v>5392</v>
      </c>
      <c r="L73" t="inlineStr">
        <is>
          <t>L-0701</t>
        </is>
      </c>
      <c r="M73">
        <f>F73-G73</f>
        <v/>
      </c>
      <c r="N73" s="2">
        <f>M73/F73</f>
        <v/>
      </c>
      <c r="O73" s="2">
        <f>I73*J73/60/M73</f>
        <v/>
      </c>
      <c r="P73" s="2">
        <f>K73/J73</f>
        <v/>
      </c>
      <c r="Q73" s="2">
        <f>N73*O73*P73</f>
        <v/>
      </c>
    </row>
    <row r="74">
      <c r="A74" t="inlineStr">
        <is>
          <t>2026-07-04</t>
        </is>
      </c>
      <c r="B74" t="inlineStr">
        <is>
          <t>주간</t>
        </is>
      </c>
      <c r="C74" t="inlineStr">
        <is>
          <t>P1</t>
        </is>
      </c>
      <c r="D74" t="inlineStr">
        <is>
          <t>원료혼합</t>
        </is>
      </c>
      <c r="E74" t="inlineStr">
        <is>
          <t>MX-01</t>
        </is>
      </c>
      <c r="F74" t="n">
        <v>480</v>
      </c>
      <c r="G74" t="n">
        <v>35</v>
      </c>
      <c r="H74" t="inlineStr">
        <is>
          <t>배합 확인</t>
        </is>
      </c>
      <c r="I74" t="n">
        <v>5</v>
      </c>
      <c r="J74" t="n">
        <v>4980</v>
      </c>
      <c r="K74" t="n">
        <v>4950</v>
      </c>
      <c r="L74" t="inlineStr">
        <is>
          <t>L-0701</t>
        </is>
      </c>
      <c r="M74">
        <f>F74-G74</f>
        <v/>
      </c>
      <c r="N74" s="2">
        <f>M74/F74</f>
        <v/>
      </c>
      <c r="O74" s="2">
        <f>I74*J74/60/M74</f>
        <v/>
      </c>
      <c r="P74" s="2">
        <f>K74/J74</f>
        <v/>
      </c>
      <c r="Q74" s="2">
        <f>N74*O74*P74</f>
        <v/>
      </c>
    </row>
    <row r="75">
      <c r="A75" t="inlineStr">
        <is>
          <t>2026-07-04</t>
        </is>
      </c>
      <c r="B75" t="inlineStr">
        <is>
          <t>주간</t>
        </is>
      </c>
      <c r="C75" t="inlineStr">
        <is>
          <t>P1</t>
        </is>
      </c>
      <c r="D75" t="inlineStr">
        <is>
          <t>원료혼합</t>
        </is>
      </c>
      <c r="E75" t="inlineStr">
        <is>
          <t>MX-02</t>
        </is>
      </c>
      <c r="F75" t="n">
        <v>480</v>
      </c>
      <c r="G75" t="n">
        <v>20</v>
      </c>
      <c r="H75" t="inlineStr">
        <is>
          <t>원료 대기</t>
        </is>
      </c>
      <c r="I75" t="n">
        <v>5</v>
      </c>
      <c r="J75" t="n">
        <v>5426</v>
      </c>
      <c r="K75" t="n">
        <v>5400</v>
      </c>
      <c r="L75" t="inlineStr">
        <is>
          <t>L-0701</t>
        </is>
      </c>
      <c r="M75">
        <f>F75-G75</f>
        <v/>
      </c>
      <c r="N75" s="2">
        <f>M75/F75</f>
        <v/>
      </c>
      <c r="O75" s="2">
        <f>I75*J75/60/M75</f>
        <v/>
      </c>
      <c r="P75" s="2">
        <f>K75/J75</f>
        <v/>
      </c>
      <c r="Q75" s="2">
        <f>N75*O75*P75</f>
        <v/>
      </c>
    </row>
    <row r="76">
      <c r="A76" t="inlineStr">
        <is>
          <t>2026-07-04</t>
        </is>
      </c>
      <c r="B76" t="inlineStr">
        <is>
          <t>주간</t>
        </is>
      </c>
      <c r="C76" t="inlineStr">
        <is>
          <t>P2</t>
        </is>
      </c>
      <c r="D76" t="inlineStr">
        <is>
          <t>성형</t>
        </is>
      </c>
      <c r="E76" t="inlineStr">
        <is>
          <t>PR-01</t>
        </is>
      </c>
      <c r="F76" t="n">
        <v>480</v>
      </c>
      <c r="G76" t="n">
        <v>59</v>
      </c>
      <c r="H76" t="inlineStr">
        <is>
          <t>압력 이상</t>
        </is>
      </c>
      <c r="I76" t="n">
        <v>6</v>
      </c>
      <c r="J76" t="n">
        <v>4068</v>
      </c>
      <c r="K76" t="n">
        <v>4035</v>
      </c>
      <c r="L76" t="inlineStr">
        <is>
          <t>L-0701</t>
        </is>
      </c>
      <c r="M76">
        <f>F76-G76</f>
        <v/>
      </c>
      <c r="N76" s="2">
        <f>M76/F76</f>
        <v/>
      </c>
      <c r="O76" s="2">
        <f>I76*J76/60/M76</f>
        <v/>
      </c>
      <c r="P76" s="2">
        <f>K76/J76</f>
        <v/>
      </c>
      <c r="Q76" s="2">
        <f>N76*O76*P76</f>
        <v/>
      </c>
    </row>
    <row r="77">
      <c r="A77" t="inlineStr">
        <is>
          <t>2026-07-04</t>
        </is>
      </c>
      <c r="B77" t="inlineStr">
        <is>
          <t>주간</t>
        </is>
      </c>
      <c r="C77" t="inlineStr">
        <is>
          <t>P2</t>
        </is>
      </c>
      <c r="D77" t="inlineStr">
        <is>
          <t>성형</t>
        </is>
      </c>
      <c r="E77" t="inlineStr">
        <is>
          <t>PR-02</t>
        </is>
      </c>
      <c r="F77" t="n">
        <v>480</v>
      </c>
      <c r="G77" t="n">
        <v>7</v>
      </c>
      <c r="H77" t="inlineStr">
        <is>
          <t>금형 교체</t>
        </is>
      </c>
      <c r="I77" t="n">
        <v>6</v>
      </c>
      <c r="J77" t="n">
        <v>4361</v>
      </c>
      <c r="K77" t="n">
        <v>4324</v>
      </c>
      <c r="L77" t="inlineStr">
        <is>
          <t>L-0701</t>
        </is>
      </c>
      <c r="M77">
        <f>F77-G77</f>
        <v/>
      </c>
      <c r="N77" s="2">
        <f>M77/F77</f>
        <v/>
      </c>
      <c r="O77" s="2">
        <f>I77*J77/60/M77</f>
        <v/>
      </c>
      <c r="P77" s="2">
        <f>K77/J77</f>
        <v/>
      </c>
      <c r="Q77" s="2">
        <f>N77*O77*P77</f>
        <v/>
      </c>
    </row>
    <row r="78">
      <c r="A78" t="inlineStr">
        <is>
          <t>2026-07-04</t>
        </is>
      </c>
      <c r="B78" t="inlineStr">
        <is>
          <t>주간</t>
        </is>
      </c>
      <c r="C78" t="inlineStr">
        <is>
          <t>P3</t>
        </is>
      </c>
      <c r="D78" t="inlineStr">
        <is>
          <t>소결</t>
        </is>
      </c>
      <c r="E78" t="inlineStr">
        <is>
          <t>SF-01</t>
        </is>
      </c>
      <c r="F78" t="n">
        <v>480</v>
      </c>
      <c r="G78" t="n">
        <v>22</v>
      </c>
      <c r="H78" t="inlineStr">
        <is>
          <t>재가열</t>
        </is>
      </c>
      <c r="I78" t="n">
        <v>6.5</v>
      </c>
      <c r="J78" t="n">
        <v>3884</v>
      </c>
      <c r="K78" t="n">
        <v>3817</v>
      </c>
      <c r="L78" t="inlineStr">
        <is>
          <t>L-0701</t>
        </is>
      </c>
      <c r="M78">
        <f>F78-G78</f>
        <v/>
      </c>
      <c r="N78" s="2">
        <f>M78/F78</f>
        <v/>
      </c>
      <c r="O78" s="2">
        <f>I78*J78/60/M78</f>
        <v/>
      </c>
      <c r="P78" s="2">
        <f>K78/J78</f>
        <v/>
      </c>
      <c r="Q78" s="2">
        <f>N78*O78*P78</f>
        <v/>
      </c>
    </row>
    <row r="79">
      <c r="A79" t="inlineStr">
        <is>
          <t>2026-07-04</t>
        </is>
      </c>
      <c r="B79" t="inlineStr">
        <is>
          <t>주간</t>
        </is>
      </c>
      <c r="C79" t="inlineStr">
        <is>
          <t>P3</t>
        </is>
      </c>
      <c r="D79" t="inlineStr">
        <is>
          <t>소결</t>
        </is>
      </c>
      <c r="E79" t="inlineStr">
        <is>
          <t>SF-02</t>
        </is>
      </c>
      <c r="F79" t="n">
        <v>480</v>
      </c>
      <c r="G79" t="n">
        <v>31</v>
      </c>
      <c r="H79" t="inlineStr">
        <is>
          <t>장입 대기</t>
        </is>
      </c>
      <c r="I79" t="n">
        <v>6.5</v>
      </c>
      <c r="J79" t="n">
        <v>3923</v>
      </c>
      <c r="K79" t="n">
        <v>3849</v>
      </c>
      <c r="L79" t="inlineStr">
        <is>
          <t>L-0701</t>
        </is>
      </c>
      <c r="M79">
        <f>F79-G79</f>
        <v/>
      </c>
      <c r="N79" s="2">
        <f>M79/F79</f>
        <v/>
      </c>
      <c r="O79" s="2">
        <f>I79*J79/60/M79</f>
        <v/>
      </c>
      <c r="P79" s="2">
        <f>K79/J79</f>
        <v/>
      </c>
      <c r="Q79" s="2">
        <f>N79*O79*P79</f>
        <v/>
      </c>
    </row>
    <row r="80">
      <c r="A80" t="inlineStr">
        <is>
          <t>2026-07-04</t>
        </is>
      </c>
      <c r="B80" t="inlineStr">
        <is>
          <t>주간</t>
        </is>
      </c>
      <c r="C80" t="inlineStr">
        <is>
          <t>P4</t>
        </is>
      </c>
      <c r="D80" t="inlineStr">
        <is>
          <t>연삭</t>
        </is>
      </c>
      <c r="E80" t="inlineStr">
        <is>
          <t>GR-01</t>
        </is>
      </c>
      <c r="F80" t="n">
        <v>480</v>
      </c>
      <c r="G80" t="n">
        <v>50</v>
      </c>
      <c r="H80" t="inlineStr">
        <is>
          <t>공구 교체</t>
        </is>
      </c>
      <c r="I80" t="n">
        <v>6.2</v>
      </c>
      <c r="J80" t="n">
        <v>3817</v>
      </c>
      <c r="K80" t="n">
        <v>3781</v>
      </c>
      <c r="L80" t="inlineStr">
        <is>
          <t>L-0701</t>
        </is>
      </c>
      <c r="M80">
        <f>F80-G80</f>
        <v/>
      </c>
      <c r="N80" s="2">
        <f>M80/F80</f>
        <v/>
      </c>
      <c r="O80" s="2">
        <f>I80*J80/60/M80</f>
        <v/>
      </c>
      <c r="P80" s="2">
        <f>K80/J80</f>
        <v/>
      </c>
      <c r="Q80" s="2">
        <f>N80*O80*P80</f>
        <v/>
      </c>
    </row>
    <row r="81">
      <c r="A81" t="inlineStr">
        <is>
          <t>2026-07-04</t>
        </is>
      </c>
      <c r="B81" t="inlineStr">
        <is>
          <t>주간</t>
        </is>
      </c>
      <c r="C81" t="inlineStr">
        <is>
          <t>P4</t>
        </is>
      </c>
      <c r="D81" t="inlineStr">
        <is>
          <t>연삭</t>
        </is>
      </c>
      <c r="E81" t="inlineStr">
        <is>
          <t>GR-02</t>
        </is>
      </c>
      <c r="F81" t="n">
        <v>480</v>
      </c>
      <c r="G81" t="n">
        <v>88</v>
      </c>
      <c r="H81" t="inlineStr">
        <is>
          <t>공구 교체</t>
        </is>
      </c>
      <c r="I81" t="n">
        <v>6.2</v>
      </c>
      <c r="J81" t="n">
        <v>3366</v>
      </c>
      <c r="K81" t="n">
        <v>3332</v>
      </c>
      <c r="L81" t="inlineStr">
        <is>
          <t>L-0701</t>
        </is>
      </c>
      <c r="M81">
        <f>F81-G81</f>
        <v/>
      </c>
      <c r="N81" s="2">
        <f>M81/F81</f>
        <v/>
      </c>
      <c r="O81" s="2">
        <f>I81*J81/60/M81</f>
        <v/>
      </c>
      <c r="P81" s="2">
        <f>K81/J81</f>
        <v/>
      </c>
      <c r="Q81" s="2">
        <f>N81*O81*P81</f>
        <v/>
      </c>
    </row>
    <row r="82">
      <c r="A82" t="inlineStr">
        <is>
          <t>2026-07-04</t>
        </is>
      </c>
      <c r="B82" t="inlineStr">
        <is>
          <t>주간</t>
        </is>
      </c>
      <c r="C82" t="inlineStr">
        <is>
          <t>P5</t>
        </is>
      </c>
      <c r="D82" t="inlineStr">
        <is>
          <t>검사</t>
        </is>
      </c>
      <c r="E82" t="inlineStr">
        <is>
          <t>IN-01</t>
        </is>
      </c>
      <c r="F82" t="n">
        <v>480</v>
      </c>
      <c r="G82" t="n">
        <v>19</v>
      </c>
      <c r="H82" t="inlineStr">
        <is>
          <t>측정기 교정</t>
        </is>
      </c>
      <c r="I82" t="n">
        <v>5.5</v>
      </c>
      <c r="J82" t="n">
        <v>4748</v>
      </c>
      <c r="K82" t="n">
        <v>4734</v>
      </c>
      <c r="L82" t="inlineStr">
        <is>
          <t>L-0701</t>
        </is>
      </c>
      <c r="M82">
        <f>F82-G82</f>
        <v/>
      </c>
      <c r="N82" s="2">
        <f>M82/F82</f>
        <v/>
      </c>
      <c r="O82" s="2">
        <f>I82*J82/60/M82</f>
        <v/>
      </c>
      <c r="P82" s="2">
        <f>K82/J82</f>
        <v/>
      </c>
      <c r="Q82" s="2">
        <f>N82*O82*P82</f>
        <v/>
      </c>
    </row>
    <row r="83">
      <c r="A83" t="inlineStr">
        <is>
          <t>2026-07-04</t>
        </is>
      </c>
      <c r="B83" t="inlineStr">
        <is>
          <t>주간</t>
        </is>
      </c>
      <c r="C83" t="inlineStr">
        <is>
          <t>P5</t>
        </is>
      </c>
      <c r="D83" t="inlineStr">
        <is>
          <t>검사</t>
        </is>
      </c>
      <c r="E83" t="inlineStr">
        <is>
          <t>IN-02</t>
        </is>
      </c>
      <c r="F83" t="n">
        <v>480</v>
      </c>
      <c r="G83" t="n">
        <v>12</v>
      </c>
      <c r="H83" t="inlineStr">
        <is>
          <t>측정기 교정</t>
        </is>
      </c>
      <c r="I83" t="n">
        <v>5.5</v>
      </c>
      <c r="J83" t="n">
        <v>4710</v>
      </c>
      <c r="K83" t="n">
        <v>4695</v>
      </c>
      <c r="L83" t="inlineStr">
        <is>
          <t>L-0701</t>
        </is>
      </c>
      <c r="M83">
        <f>F83-G83</f>
        <v/>
      </c>
      <c r="N83" s="2">
        <f>M83/F83</f>
        <v/>
      </c>
      <c r="O83" s="2">
        <f>I83*J83/60/M83</f>
        <v/>
      </c>
      <c r="P83" s="2">
        <f>K83/J83</f>
        <v/>
      </c>
      <c r="Q83" s="2">
        <f>N83*O83*P83</f>
        <v/>
      </c>
    </row>
    <row r="84">
      <c r="A84" t="inlineStr">
        <is>
          <t>2026-07-04</t>
        </is>
      </c>
      <c r="B84" t="inlineStr">
        <is>
          <t>주간</t>
        </is>
      </c>
      <c r="C84" t="inlineStr">
        <is>
          <t>P6</t>
        </is>
      </c>
      <c r="D84" t="inlineStr">
        <is>
          <t>포장</t>
        </is>
      </c>
      <c r="E84" t="inlineStr">
        <is>
          <t>PK-01</t>
        </is>
      </c>
      <c r="F84" t="n">
        <v>480</v>
      </c>
      <c r="G84" t="n">
        <v>3</v>
      </c>
      <c r="H84" t="inlineStr">
        <is>
          <t>자재 대기</t>
        </is>
      </c>
      <c r="I84" t="n">
        <v>4.8</v>
      </c>
      <c r="J84" t="n">
        <v>5425</v>
      </c>
      <c r="K84" t="n">
        <v>5414</v>
      </c>
      <c r="L84" t="inlineStr">
        <is>
          <t>L-0701</t>
        </is>
      </c>
      <c r="M84">
        <f>F84-G84</f>
        <v/>
      </c>
      <c r="N84" s="2">
        <f>M84/F84</f>
        <v/>
      </c>
      <c r="O84" s="2">
        <f>I84*J84/60/M84</f>
        <v/>
      </c>
      <c r="P84" s="2">
        <f>K84/J84</f>
        <v/>
      </c>
      <c r="Q84" s="2">
        <f>N84*O84*P84</f>
        <v/>
      </c>
    </row>
    <row r="85">
      <c r="A85" t="inlineStr">
        <is>
          <t>2026-07-04</t>
        </is>
      </c>
      <c r="B85" t="inlineStr">
        <is>
          <t>주간</t>
        </is>
      </c>
      <c r="C85" t="inlineStr">
        <is>
          <t>P6</t>
        </is>
      </c>
      <c r="D85" t="inlineStr">
        <is>
          <t>포장</t>
        </is>
      </c>
      <c r="E85" t="inlineStr">
        <is>
          <t>PK-02</t>
        </is>
      </c>
      <c r="F85" t="n">
        <v>480</v>
      </c>
      <c r="G85" t="n">
        <v>26</v>
      </c>
      <c r="H85" t="inlineStr">
        <is>
          <t>자재 대기</t>
        </is>
      </c>
      <c r="I85" t="n">
        <v>4.8</v>
      </c>
      <c r="J85" t="n">
        <v>5394</v>
      </c>
      <c r="K85" t="n">
        <v>5383</v>
      </c>
      <c r="L85" t="inlineStr">
        <is>
          <t>L-0701</t>
        </is>
      </c>
      <c r="M85">
        <f>F85-G85</f>
        <v/>
      </c>
      <c r="N85" s="2">
        <f>M85/F85</f>
        <v/>
      </c>
      <c r="O85" s="2">
        <f>I85*J85/60/M85</f>
        <v/>
      </c>
      <c r="P85" s="2">
        <f>K85/J85</f>
        <v/>
      </c>
      <c r="Q85" s="2">
        <f>N85*O85*P85</f>
        <v/>
      </c>
    </row>
    <row r="86">
      <c r="A86" t="inlineStr">
        <is>
          <t>2026-07-04</t>
        </is>
      </c>
      <c r="B86" t="inlineStr">
        <is>
          <t>야간</t>
        </is>
      </c>
      <c r="C86" t="inlineStr">
        <is>
          <t>P1</t>
        </is>
      </c>
      <c r="D86" t="inlineStr">
        <is>
          <t>원료혼합</t>
        </is>
      </c>
      <c r="E86" t="inlineStr">
        <is>
          <t>MX-01</t>
        </is>
      </c>
      <c r="F86" t="n">
        <v>480</v>
      </c>
      <c r="G86" t="n">
        <v>24</v>
      </c>
      <c r="H86" t="inlineStr">
        <is>
          <t>원료 대기</t>
        </is>
      </c>
      <c r="I86" t="n">
        <v>5</v>
      </c>
      <c r="J86" t="n">
        <v>4797</v>
      </c>
      <c r="K86" t="n">
        <v>4768</v>
      </c>
      <c r="L86" t="inlineStr">
        <is>
          <t>L-0701</t>
        </is>
      </c>
      <c r="M86">
        <f>F86-G86</f>
        <v/>
      </c>
      <c r="N86" s="2">
        <f>M86/F86</f>
        <v/>
      </c>
      <c r="O86" s="2">
        <f>I86*J86/60/M86</f>
        <v/>
      </c>
      <c r="P86" s="2">
        <f>K86/J86</f>
        <v/>
      </c>
      <c r="Q86" s="2">
        <f>N86*O86*P86</f>
        <v/>
      </c>
    </row>
    <row r="87">
      <c r="A87" t="inlineStr">
        <is>
          <t>2026-07-04</t>
        </is>
      </c>
      <c r="B87" t="inlineStr">
        <is>
          <t>야간</t>
        </is>
      </c>
      <c r="C87" t="inlineStr">
        <is>
          <t>P1</t>
        </is>
      </c>
      <c r="D87" t="inlineStr">
        <is>
          <t>원료혼합</t>
        </is>
      </c>
      <c r="E87" t="inlineStr">
        <is>
          <t>MX-02</t>
        </is>
      </c>
      <c r="F87" t="n">
        <v>480</v>
      </c>
      <c r="G87" t="n">
        <v>17</v>
      </c>
      <c r="H87" t="inlineStr">
        <is>
          <t>원료 대기</t>
        </is>
      </c>
      <c r="I87" t="n">
        <v>5</v>
      </c>
      <c r="J87" t="n">
        <v>5213</v>
      </c>
      <c r="K87" t="n">
        <v>5167</v>
      </c>
      <c r="L87" t="inlineStr">
        <is>
          <t>L-0701</t>
        </is>
      </c>
      <c r="M87">
        <f>F87-G87</f>
        <v/>
      </c>
      <c r="N87" s="2">
        <f>M87/F87</f>
        <v/>
      </c>
      <c r="O87" s="2">
        <f>I87*J87/60/M87</f>
        <v/>
      </c>
      <c r="P87" s="2">
        <f>K87/J87</f>
        <v/>
      </c>
      <c r="Q87" s="2">
        <f>N87*O87*P87</f>
        <v/>
      </c>
    </row>
    <row r="88">
      <c r="A88" t="inlineStr">
        <is>
          <t>2026-07-04</t>
        </is>
      </c>
      <c r="B88" t="inlineStr">
        <is>
          <t>야간</t>
        </is>
      </c>
      <c r="C88" t="inlineStr">
        <is>
          <t>P2</t>
        </is>
      </c>
      <c r="D88" t="inlineStr">
        <is>
          <t>성형</t>
        </is>
      </c>
      <c r="E88" t="inlineStr">
        <is>
          <t>PR-01</t>
        </is>
      </c>
      <c r="F88" t="n">
        <v>480</v>
      </c>
      <c r="G88" t="n">
        <v>32</v>
      </c>
      <c r="H88" t="inlineStr">
        <is>
          <t>금형 교체</t>
        </is>
      </c>
      <c r="I88" t="n">
        <v>6</v>
      </c>
      <c r="J88" t="n">
        <v>4095</v>
      </c>
      <c r="K88" t="n">
        <v>4052</v>
      </c>
      <c r="L88" t="inlineStr">
        <is>
          <t>L-0701</t>
        </is>
      </c>
      <c r="M88">
        <f>F88-G88</f>
        <v/>
      </c>
      <c r="N88" s="2">
        <f>M88/F88</f>
        <v/>
      </c>
      <c r="O88" s="2">
        <f>I88*J88/60/M88</f>
        <v/>
      </c>
      <c r="P88" s="2">
        <f>K88/J88</f>
        <v/>
      </c>
      <c r="Q88" s="2">
        <f>N88*O88*P88</f>
        <v/>
      </c>
    </row>
    <row r="89">
      <c r="A89" t="inlineStr">
        <is>
          <t>2026-07-04</t>
        </is>
      </c>
      <c r="B89" t="inlineStr">
        <is>
          <t>야간</t>
        </is>
      </c>
      <c r="C89" t="inlineStr">
        <is>
          <t>P2</t>
        </is>
      </c>
      <c r="D89" t="inlineStr">
        <is>
          <t>성형</t>
        </is>
      </c>
      <c r="E89" t="inlineStr">
        <is>
          <t>PR-02</t>
        </is>
      </c>
      <c r="F89" t="n">
        <v>480</v>
      </c>
      <c r="G89" t="n">
        <v>3</v>
      </c>
      <c r="H89" t="inlineStr">
        <is>
          <t>분말 공급 지연</t>
        </is>
      </c>
      <c r="I89" t="n">
        <v>6</v>
      </c>
      <c r="J89" t="n">
        <v>4578</v>
      </c>
      <c r="K89" t="n">
        <v>4541</v>
      </c>
      <c r="L89" t="inlineStr">
        <is>
          <t>L-0701</t>
        </is>
      </c>
      <c r="M89">
        <f>F89-G89</f>
        <v/>
      </c>
      <c r="N89" s="2">
        <f>M89/F89</f>
        <v/>
      </c>
      <c r="O89" s="2">
        <f>I89*J89/60/M89</f>
        <v/>
      </c>
      <c r="P89" s="2">
        <f>K89/J89</f>
        <v/>
      </c>
      <c r="Q89" s="2">
        <f>N89*O89*P89</f>
        <v/>
      </c>
    </row>
    <row r="90">
      <c r="A90" t="inlineStr">
        <is>
          <t>2026-07-04</t>
        </is>
      </c>
      <c r="B90" t="inlineStr">
        <is>
          <t>야간</t>
        </is>
      </c>
      <c r="C90" t="inlineStr">
        <is>
          <t>P3</t>
        </is>
      </c>
      <c r="D90" t="inlineStr">
        <is>
          <t>소결</t>
        </is>
      </c>
      <c r="E90" t="inlineStr">
        <is>
          <t>SF-01</t>
        </is>
      </c>
      <c r="F90" t="n">
        <v>480</v>
      </c>
      <c r="G90" t="n">
        <v>98</v>
      </c>
      <c r="H90" t="inlineStr">
        <is>
          <t>재가열</t>
        </is>
      </c>
      <c r="I90" t="n">
        <v>6.5</v>
      </c>
      <c r="J90" t="n">
        <v>3373</v>
      </c>
      <c r="K90" t="n">
        <v>3270</v>
      </c>
      <c r="L90" t="inlineStr">
        <is>
          <t>L-0701</t>
        </is>
      </c>
      <c r="M90">
        <f>F90-G90</f>
        <v/>
      </c>
      <c r="N90" s="2">
        <f>M90/F90</f>
        <v/>
      </c>
      <c r="O90" s="2">
        <f>I90*J90/60/M90</f>
        <v/>
      </c>
      <c r="P90" s="2">
        <f>K90/J90</f>
        <v/>
      </c>
      <c r="Q90" s="2">
        <f>N90*O90*P90</f>
        <v/>
      </c>
    </row>
    <row r="91">
      <c r="A91" t="inlineStr">
        <is>
          <t>2026-07-04</t>
        </is>
      </c>
      <c r="B91" t="inlineStr">
        <is>
          <t>야간</t>
        </is>
      </c>
      <c r="C91" t="inlineStr">
        <is>
          <t>P3</t>
        </is>
      </c>
      <c r="D91" t="inlineStr">
        <is>
          <t>소결</t>
        </is>
      </c>
      <c r="E91" t="inlineStr">
        <is>
          <t>SF-02</t>
        </is>
      </c>
      <c r="F91" t="n">
        <v>480</v>
      </c>
      <c r="G91" t="n">
        <v>14</v>
      </c>
      <c r="H91" t="inlineStr">
        <is>
          <t>장입 대기</t>
        </is>
      </c>
      <c r="I91" t="n">
        <v>6.5</v>
      </c>
      <c r="J91" t="n">
        <v>3996</v>
      </c>
      <c r="K91" t="n">
        <v>3912</v>
      </c>
      <c r="L91" t="inlineStr">
        <is>
          <t>L-0701</t>
        </is>
      </c>
      <c r="M91">
        <f>F91-G91</f>
        <v/>
      </c>
      <c r="N91" s="2">
        <f>M91/F91</f>
        <v/>
      </c>
      <c r="O91" s="2">
        <f>I91*J91/60/M91</f>
        <v/>
      </c>
      <c r="P91" s="2">
        <f>K91/J91</f>
        <v/>
      </c>
      <c r="Q91" s="2">
        <f>N91*O91*P91</f>
        <v/>
      </c>
    </row>
    <row r="92">
      <c r="A92" t="inlineStr">
        <is>
          <t>2026-07-04</t>
        </is>
      </c>
      <c r="B92" t="inlineStr">
        <is>
          <t>야간</t>
        </is>
      </c>
      <c r="C92" t="inlineStr">
        <is>
          <t>P4</t>
        </is>
      </c>
      <c r="D92" t="inlineStr">
        <is>
          <t>연삭</t>
        </is>
      </c>
      <c r="E92" t="inlineStr">
        <is>
          <t>GR-01</t>
        </is>
      </c>
      <c r="F92" t="n">
        <v>480</v>
      </c>
      <c r="G92" t="n">
        <v>70</v>
      </c>
      <c r="H92" t="inlineStr">
        <is>
          <t>공구 교체</t>
        </is>
      </c>
      <c r="I92" t="n">
        <v>6.2</v>
      </c>
      <c r="J92" t="n">
        <v>3555</v>
      </c>
      <c r="K92" t="n">
        <v>3518</v>
      </c>
      <c r="L92" t="inlineStr">
        <is>
          <t>L-0701</t>
        </is>
      </c>
      <c r="M92">
        <f>F92-G92</f>
        <v/>
      </c>
      <c r="N92" s="2">
        <f>M92/F92</f>
        <v/>
      </c>
      <c r="O92" s="2">
        <f>I92*J92/60/M92</f>
        <v/>
      </c>
      <c r="P92" s="2">
        <f>K92/J92</f>
        <v/>
      </c>
      <c r="Q92" s="2">
        <f>N92*O92*P92</f>
        <v/>
      </c>
    </row>
    <row r="93">
      <c r="A93" t="inlineStr">
        <is>
          <t>2026-07-04</t>
        </is>
      </c>
      <c r="B93" t="inlineStr">
        <is>
          <t>야간</t>
        </is>
      </c>
      <c r="C93" t="inlineStr">
        <is>
          <t>P4</t>
        </is>
      </c>
      <c r="D93" t="inlineStr">
        <is>
          <t>연삭</t>
        </is>
      </c>
      <c r="E93" t="inlineStr">
        <is>
          <t>GR-02</t>
        </is>
      </c>
      <c r="F93" t="n">
        <v>480</v>
      </c>
      <c r="G93" t="n">
        <v>57</v>
      </c>
      <c r="H93" t="inlineStr">
        <is>
          <t>드레싱</t>
        </is>
      </c>
      <c r="I93" t="n">
        <v>6.2</v>
      </c>
      <c r="J93" t="n">
        <v>3871</v>
      </c>
      <c r="K93" t="n">
        <v>3833</v>
      </c>
      <c r="L93" t="inlineStr">
        <is>
          <t>L-0701</t>
        </is>
      </c>
      <c r="M93">
        <f>F93-G93</f>
        <v/>
      </c>
      <c r="N93" s="2">
        <f>M93/F93</f>
        <v/>
      </c>
      <c r="O93" s="2">
        <f>I93*J93/60/M93</f>
        <v/>
      </c>
      <c r="P93" s="2">
        <f>K93/J93</f>
        <v/>
      </c>
      <c r="Q93" s="2">
        <f>N93*O93*P93</f>
        <v/>
      </c>
    </row>
    <row r="94">
      <c r="A94" t="inlineStr">
        <is>
          <t>2026-07-04</t>
        </is>
      </c>
      <c r="B94" t="inlineStr">
        <is>
          <t>야간</t>
        </is>
      </c>
      <c r="C94" t="inlineStr">
        <is>
          <t>P5</t>
        </is>
      </c>
      <c r="D94" t="inlineStr">
        <is>
          <t>검사</t>
        </is>
      </c>
      <c r="E94" t="inlineStr">
        <is>
          <t>IN-01</t>
        </is>
      </c>
      <c r="F94" t="n">
        <v>480</v>
      </c>
      <c r="G94" t="n">
        <v>20</v>
      </c>
      <c r="H94" t="inlineStr">
        <is>
          <t>샘플 재검</t>
        </is>
      </c>
      <c r="I94" t="n">
        <v>5.5</v>
      </c>
      <c r="J94" t="n">
        <v>4536</v>
      </c>
      <c r="K94" t="n">
        <v>4518</v>
      </c>
      <c r="L94" t="inlineStr">
        <is>
          <t>L-0701</t>
        </is>
      </c>
      <c r="M94">
        <f>F94-G94</f>
        <v/>
      </c>
      <c r="N94" s="2">
        <f>M94/F94</f>
        <v/>
      </c>
      <c r="O94" s="2">
        <f>I94*J94/60/M94</f>
        <v/>
      </c>
      <c r="P94" s="2">
        <f>K94/J94</f>
        <v/>
      </c>
      <c r="Q94" s="2">
        <f>N94*O94*P94</f>
        <v/>
      </c>
    </row>
    <row r="95">
      <c r="A95" t="inlineStr">
        <is>
          <t>2026-07-04</t>
        </is>
      </c>
      <c r="B95" t="inlineStr">
        <is>
          <t>야간</t>
        </is>
      </c>
      <c r="C95" t="inlineStr">
        <is>
          <t>P5</t>
        </is>
      </c>
      <c r="D95" t="inlineStr">
        <is>
          <t>검사</t>
        </is>
      </c>
      <c r="E95" t="inlineStr">
        <is>
          <t>IN-02</t>
        </is>
      </c>
      <c r="F95" t="n">
        <v>480</v>
      </c>
      <c r="G95" t="n">
        <v>24</v>
      </c>
      <c r="H95" t="inlineStr">
        <is>
          <t>측정기 교정</t>
        </is>
      </c>
      <c r="I95" t="n">
        <v>5.5</v>
      </c>
      <c r="J95" t="n">
        <v>4580</v>
      </c>
      <c r="K95" t="n">
        <v>4565</v>
      </c>
      <c r="L95" t="inlineStr">
        <is>
          <t>L-0701</t>
        </is>
      </c>
      <c r="M95">
        <f>F95-G95</f>
        <v/>
      </c>
      <c r="N95" s="2">
        <f>M95/F95</f>
        <v/>
      </c>
      <c r="O95" s="2">
        <f>I95*J95/60/M95</f>
        <v/>
      </c>
      <c r="P95" s="2">
        <f>K95/J95</f>
        <v/>
      </c>
      <c r="Q95" s="2">
        <f>N95*O95*P95</f>
        <v/>
      </c>
    </row>
    <row r="96">
      <c r="A96" t="inlineStr">
        <is>
          <t>2026-07-04</t>
        </is>
      </c>
      <c r="B96" t="inlineStr">
        <is>
          <t>야간</t>
        </is>
      </c>
      <c r="C96" t="inlineStr">
        <is>
          <t>P6</t>
        </is>
      </c>
      <c r="D96" t="inlineStr">
        <is>
          <t>포장</t>
        </is>
      </c>
      <c r="E96" t="inlineStr">
        <is>
          <t>PK-01</t>
        </is>
      </c>
      <c r="F96" t="n">
        <v>480</v>
      </c>
      <c r="G96" t="n">
        <v>9</v>
      </c>
      <c r="H96" t="inlineStr">
        <is>
          <t>자재 대기</t>
        </is>
      </c>
      <c r="I96" t="n">
        <v>4.8</v>
      </c>
      <c r="J96" t="n">
        <v>5406</v>
      </c>
      <c r="K96" t="n">
        <v>5391</v>
      </c>
      <c r="L96" t="inlineStr">
        <is>
          <t>L-0701</t>
        </is>
      </c>
      <c r="M96">
        <f>F96-G96</f>
        <v/>
      </c>
      <c r="N96" s="2">
        <f>M96/F96</f>
        <v/>
      </c>
      <c r="O96" s="2">
        <f>I96*J96/60/M96</f>
        <v/>
      </c>
      <c r="P96" s="2">
        <f>K96/J96</f>
        <v/>
      </c>
      <c r="Q96" s="2">
        <f>N96*O96*P96</f>
        <v/>
      </c>
    </row>
    <row r="97">
      <c r="A97" t="inlineStr">
        <is>
          <t>2026-07-04</t>
        </is>
      </c>
      <c r="B97" t="inlineStr">
        <is>
          <t>야간</t>
        </is>
      </c>
      <c r="C97" t="inlineStr">
        <is>
          <t>P6</t>
        </is>
      </c>
      <c r="D97" t="inlineStr">
        <is>
          <t>포장</t>
        </is>
      </c>
      <c r="E97" t="inlineStr">
        <is>
          <t>PK-02</t>
        </is>
      </c>
      <c r="F97" t="n">
        <v>480</v>
      </c>
      <c r="G97" t="n">
        <v>12</v>
      </c>
      <c r="H97" t="inlineStr">
        <is>
          <t>라벨 교체</t>
        </is>
      </c>
      <c r="I97" t="n">
        <v>4.8</v>
      </c>
      <c r="J97" t="n">
        <v>5268</v>
      </c>
      <c r="K97" t="n">
        <v>5255</v>
      </c>
      <c r="L97" t="inlineStr">
        <is>
          <t>L-0701</t>
        </is>
      </c>
      <c r="M97">
        <f>F97-G97</f>
        <v/>
      </c>
      <c r="N97" s="2">
        <f>M97/F97</f>
        <v/>
      </c>
      <c r="O97" s="2">
        <f>I97*J97/60/M97</f>
        <v/>
      </c>
      <c r="P97" s="2">
        <f>K97/J97</f>
        <v/>
      </c>
      <c r="Q97" s="2">
        <f>N97*O97*P97</f>
        <v/>
      </c>
    </row>
    <row r="98">
      <c r="A98" t="inlineStr">
        <is>
          <t>2026-07-05</t>
        </is>
      </c>
      <c r="B98" t="inlineStr">
        <is>
          <t>주간</t>
        </is>
      </c>
      <c r="C98" t="inlineStr">
        <is>
          <t>P1</t>
        </is>
      </c>
      <c r="D98" t="inlineStr">
        <is>
          <t>원료혼합</t>
        </is>
      </c>
      <c r="E98" t="inlineStr">
        <is>
          <t>MX-01</t>
        </is>
      </c>
      <c r="F98" t="n">
        <v>480</v>
      </c>
      <c r="G98" t="n">
        <v>41</v>
      </c>
      <c r="H98" t="inlineStr">
        <is>
          <t>배합 확인</t>
        </is>
      </c>
      <c r="I98" t="n">
        <v>5</v>
      </c>
      <c r="J98" t="n">
        <v>4683</v>
      </c>
      <c r="K98" t="n">
        <v>4659</v>
      </c>
      <c r="L98" t="inlineStr">
        <is>
          <t>L-0701</t>
        </is>
      </c>
      <c r="M98">
        <f>F98-G98</f>
        <v/>
      </c>
      <c r="N98" s="2">
        <f>M98/F98</f>
        <v/>
      </c>
      <c r="O98" s="2">
        <f>I98*J98/60/M98</f>
        <v/>
      </c>
      <c r="P98" s="2">
        <f>K98/J98</f>
        <v/>
      </c>
      <c r="Q98" s="2">
        <f>N98*O98*P98</f>
        <v/>
      </c>
    </row>
    <row r="99">
      <c r="A99" t="inlineStr">
        <is>
          <t>2026-07-05</t>
        </is>
      </c>
      <c r="B99" t="inlineStr">
        <is>
          <t>주간</t>
        </is>
      </c>
      <c r="C99" t="inlineStr">
        <is>
          <t>P1</t>
        </is>
      </c>
      <c r="D99" t="inlineStr">
        <is>
          <t>원료혼합</t>
        </is>
      </c>
      <c r="E99" t="inlineStr">
        <is>
          <t>MX-02</t>
        </is>
      </c>
      <c r="F99" t="n">
        <v>480</v>
      </c>
      <c r="G99" t="n">
        <v>26</v>
      </c>
      <c r="H99" t="inlineStr">
        <is>
          <t>배합 확인</t>
        </is>
      </c>
      <c r="I99" t="n">
        <v>5</v>
      </c>
      <c r="J99" t="n">
        <v>5088</v>
      </c>
      <c r="K99" t="n">
        <v>5059</v>
      </c>
      <c r="L99" t="inlineStr">
        <is>
          <t>L-0701</t>
        </is>
      </c>
      <c r="M99">
        <f>F99-G99</f>
        <v/>
      </c>
      <c r="N99" s="2">
        <f>M99/F99</f>
        <v/>
      </c>
      <c r="O99" s="2">
        <f>I99*J99/60/M99</f>
        <v/>
      </c>
      <c r="P99" s="2">
        <f>K99/J99</f>
        <v/>
      </c>
      <c r="Q99" s="2">
        <f>N99*O99*P99</f>
        <v/>
      </c>
    </row>
    <row r="100">
      <c r="A100" t="inlineStr">
        <is>
          <t>2026-07-05</t>
        </is>
      </c>
      <c r="B100" t="inlineStr">
        <is>
          <t>주간</t>
        </is>
      </c>
      <c r="C100" t="inlineStr">
        <is>
          <t>P2</t>
        </is>
      </c>
      <c r="D100" t="inlineStr">
        <is>
          <t>성형</t>
        </is>
      </c>
      <c r="E100" t="inlineStr">
        <is>
          <t>PR-01</t>
        </is>
      </c>
      <c r="F100" t="n">
        <v>480</v>
      </c>
      <c r="G100" t="n">
        <v>56</v>
      </c>
      <c r="H100" t="inlineStr">
        <is>
          <t>분말 공급 지연</t>
        </is>
      </c>
      <c r="I100" t="n">
        <v>6</v>
      </c>
      <c r="J100" t="n">
        <v>3940</v>
      </c>
      <c r="K100" t="n">
        <v>3907</v>
      </c>
      <c r="L100" t="inlineStr">
        <is>
          <t>L-0701</t>
        </is>
      </c>
      <c r="M100">
        <f>F100-G100</f>
        <v/>
      </c>
      <c r="N100" s="2">
        <f>M100/F100</f>
        <v/>
      </c>
      <c r="O100" s="2">
        <f>I100*J100/60/M100</f>
        <v/>
      </c>
      <c r="P100" s="2">
        <f>K100/J100</f>
        <v/>
      </c>
      <c r="Q100" s="2">
        <f>N100*O100*P100</f>
        <v/>
      </c>
    </row>
    <row r="101">
      <c r="A101" t="inlineStr">
        <is>
          <t>2026-07-05</t>
        </is>
      </c>
      <c r="B101" t="inlineStr">
        <is>
          <t>주간</t>
        </is>
      </c>
      <c r="C101" t="inlineStr">
        <is>
          <t>P2</t>
        </is>
      </c>
      <c r="D101" t="inlineStr">
        <is>
          <t>성형</t>
        </is>
      </c>
      <c r="E101" t="inlineStr">
        <is>
          <t>PR-02</t>
        </is>
      </c>
      <c r="F101" t="n">
        <v>480</v>
      </c>
      <c r="G101" t="n">
        <v>10</v>
      </c>
      <c r="H101" t="inlineStr">
        <is>
          <t>금형 교체</t>
        </is>
      </c>
      <c r="I101" t="n">
        <v>6</v>
      </c>
      <c r="J101" t="n">
        <v>4595</v>
      </c>
      <c r="K101" t="n">
        <v>4567</v>
      </c>
      <c r="L101" t="inlineStr">
        <is>
          <t>L-0701</t>
        </is>
      </c>
      <c r="M101">
        <f>F101-G101</f>
        <v/>
      </c>
      <c r="N101" s="2">
        <f>M101/F101</f>
        <v/>
      </c>
      <c r="O101" s="2">
        <f>I101*J101/60/M101</f>
        <v/>
      </c>
      <c r="P101" s="2">
        <f>K101/J101</f>
        <v/>
      </c>
      <c r="Q101" s="2">
        <f>N101*O101*P101</f>
        <v/>
      </c>
    </row>
    <row r="102">
      <c r="A102" t="inlineStr">
        <is>
          <t>2026-07-05</t>
        </is>
      </c>
      <c r="B102" t="inlineStr">
        <is>
          <t>주간</t>
        </is>
      </c>
      <c r="C102" t="inlineStr">
        <is>
          <t>P3</t>
        </is>
      </c>
      <c r="D102" t="inlineStr">
        <is>
          <t>소결</t>
        </is>
      </c>
      <c r="E102" t="inlineStr">
        <is>
          <t>SF-01</t>
        </is>
      </c>
      <c r="F102" t="n">
        <v>480</v>
      </c>
      <c r="G102" t="n">
        <v>41</v>
      </c>
      <c r="H102" t="inlineStr">
        <is>
          <t>온도 이상 정지</t>
        </is>
      </c>
      <c r="I102" t="n">
        <v>6.5</v>
      </c>
      <c r="J102" t="n">
        <v>3630</v>
      </c>
      <c r="K102" t="n">
        <v>3563</v>
      </c>
      <c r="L102" t="inlineStr">
        <is>
          <t>L-0701</t>
        </is>
      </c>
      <c r="M102">
        <f>F102-G102</f>
        <v/>
      </c>
      <c r="N102" s="2">
        <f>M102/F102</f>
        <v/>
      </c>
      <c r="O102" s="2">
        <f>I102*J102/60/M102</f>
        <v/>
      </c>
      <c r="P102" s="2">
        <f>K102/J102</f>
        <v/>
      </c>
      <c r="Q102" s="2">
        <f>N102*O102*P102</f>
        <v/>
      </c>
    </row>
    <row r="103">
      <c r="A103" t="inlineStr">
        <is>
          <t>2026-07-05</t>
        </is>
      </c>
      <c r="B103" t="inlineStr">
        <is>
          <t>주간</t>
        </is>
      </c>
      <c r="C103" t="inlineStr">
        <is>
          <t>P3</t>
        </is>
      </c>
      <c r="D103" t="inlineStr">
        <is>
          <t>소결</t>
        </is>
      </c>
      <c r="E103" t="inlineStr">
        <is>
          <t>SF-02</t>
        </is>
      </c>
      <c r="F103" t="n">
        <v>480</v>
      </c>
      <c r="G103" t="n">
        <v>43</v>
      </c>
      <c r="H103" t="inlineStr">
        <is>
          <t>승온 대기</t>
        </is>
      </c>
      <c r="I103" t="n">
        <v>6.5</v>
      </c>
      <c r="J103" t="n">
        <v>3785</v>
      </c>
      <c r="K103" t="n">
        <v>3729</v>
      </c>
      <c r="L103" t="inlineStr">
        <is>
          <t>L-0701</t>
        </is>
      </c>
      <c r="M103">
        <f>F103-G103</f>
        <v/>
      </c>
      <c r="N103" s="2">
        <f>M103/F103</f>
        <v/>
      </c>
      <c r="O103" s="2">
        <f>I103*J103/60/M103</f>
        <v/>
      </c>
      <c r="P103" s="2">
        <f>K103/J103</f>
        <v/>
      </c>
      <c r="Q103" s="2">
        <f>N103*O103*P103</f>
        <v/>
      </c>
    </row>
    <row r="104">
      <c r="A104" t="inlineStr">
        <is>
          <t>2026-07-05</t>
        </is>
      </c>
      <c r="B104" t="inlineStr">
        <is>
          <t>주간</t>
        </is>
      </c>
      <c r="C104" t="inlineStr">
        <is>
          <t>P4</t>
        </is>
      </c>
      <c r="D104" t="inlineStr">
        <is>
          <t>연삭</t>
        </is>
      </c>
      <c r="E104" t="inlineStr">
        <is>
          <t>GR-01</t>
        </is>
      </c>
      <c r="F104" t="n">
        <v>480</v>
      </c>
      <c r="G104" t="n">
        <v>77</v>
      </c>
      <c r="H104" t="inlineStr">
        <is>
          <t>공구 교체</t>
        </is>
      </c>
      <c r="I104" t="n">
        <v>6.2</v>
      </c>
      <c r="J104" t="n">
        <v>3662</v>
      </c>
      <c r="K104" t="n">
        <v>3628</v>
      </c>
      <c r="L104" t="inlineStr">
        <is>
          <t>L-0701</t>
        </is>
      </c>
      <c r="M104">
        <f>F104-G104</f>
        <v/>
      </c>
      <c r="N104" s="2">
        <f>M104/F104</f>
        <v/>
      </c>
      <c r="O104" s="2">
        <f>I104*J104/60/M104</f>
        <v/>
      </c>
      <c r="P104" s="2">
        <f>K104/J104</f>
        <v/>
      </c>
      <c r="Q104" s="2">
        <f>N104*O104*P104</f>
        <v/>
      </c>
    </row>
    <row r="105">
      <c r="A105" t="inlineStr">
        <is>
          <t>2026-07-05</t>
        </is>
      </c>
      <c r="B105" t="inlineStr">
        <is>
          <t>주간</t>
        </is>
      </c>
      <c r="C105" t="inlineStr">
        <is>
          <t>P4</t>
        </is>
      </c>
      <c r="D105" t="inlineStr">
        <is>
          <t>연삭</t>
        </is>
      </c>
      <c r="E105" t="inlineStr">
        <is>
          <t>GR-02</t>
        </is>
      </c>
      <c r="F105" t="n">
        <v>480</v>
      </c>
      <c r="G105" t="n">
        <v>68</v>
      </c>
      <c r="H105" t="inlineStr">
        <is>
          <t>드레싱</t>
        </is>
      </c>
      <c r="I105" t="n">
        <v>6.2</v>
      </c>
      <c r="J105" t="n">
        <v>3613</v>
      </c>
      <c r="K105" t="n">
        <v>3577</v>
      </c>
      <c r="L105" t="inlineStr">
        <is>
          <t>L-0701</t>
        </is>
      </c>
      <c r="M105">
        <f>F105-G105</f>
        <v/>
      </c>
      <c r="N105" s="2">
        <f>M105/F105</f>
        <v/>
      </c>
      <c r="O105" s="2">
        <f>I105*J105/60/M105</f>
        <v/>
      </c>
      <c r="P105" s="2">
        <f>K105/J105</f>
        <v/>
      </c>
      <c r="Q105" s="2">
        <f>N105*O105*P105</f>
        <v/>
      </c>
    </row>
    <row r="106">
      <c r="A106" t="inlineStr">
        <is>
          <t>2026-07-05</t>
        </is>
      </c>
      <c r="B106" t="inlineStr">
        <is>
          <t>주간</t>
        </is>
      </c>
      <c r="C106" t="inlineStr">
        <is>
          <t>P5</t>
        </is>
      </c>
      <c r="D106" t="inlineStr">
        <is>
          <t>검사</t>
        </is>
      </c>
      <c r="E106" t="inlineStr">
        <is>
          <t>IN-01</t>
        </is>
      </c>
      <c r="F106" t="n">
        <v>480</v>
      </c>
      <c r="G106" t="n">
        <v>20</v>
      </c>
      <c r="H106" t="inlineStr">
        <is>
          <t>측정기 교정</t>
        </is>
      </c>
      <c r="I106" t="n">
        <v>5.5</v>
      </c>
      <c r="J106" t="n">
        <v>4516</v>
      </c>
      <c r="K106" t="n">
        <v>4505</v>
      </c>
      <c r="L106" t="inlineStr">
        <is>
          <t>L-0701</t>
        </is>
      </c>
      <c r="M106">
        <f>F106-G106</f>
        <v/>
      </c>
      <c r="N106" s="2">
        <f>M106/F106</f>
        <v/>
      </c>
      <c r="O106" s="2">
        <f>I106*J106/60/M106</f>
        <v/>
      </c>
      <c r="P106" s="2">
        <f>K106/J106</f>
        <v/>
      </c>
      <c r="Q106" s="2">
        <f>N106*O106*P106</f>
        <v/>
      </c>
    </row>
    <row r="107">
      <c r="A107" t="inlineStr">
        <is>
          <t>2026-07-05</t>
        </is>
      </c>
      <c r="B107" t="inlineStr">
        <is>
          <t>주간</t>
        </is>
      </c>
      <c r="C107" t="inlineStr">
        <is>
          <t>P5</t>
        </is>
      </c>
      <c r="D107" t="inlineStr">
        <is>
          <t>검사</t>
        </is>
      </c>
      <c r="E107" t="inlineStr">
        <is>
          <t>IN-02</t>
        </is>
      </c>
      <c r="F107" t="n">
        <v>480</v>
      </c>
      <c r="G107" t="n">
        <v>29</v>
      </c>
      <c r="H107" t="inlineStr">
        <is>
          <t>샘플 재검</t>
        </is>
      </c>
      <c r="I107" t="n">
        <v>5.5</v>
      </c>
      <c r="J107" t="n">
        <v>4603</v>
      </c>
      <c r="K107" t="n">
        <v>4587</v>
      </c>
      <c r="L107" t="inlineStr">
        <is>
          <t>L-0701</t>
        </is>
      </c>
      <c r="M107">
        <f>F107-G107</f>
        <v/>
      </c>
      <c r="N107" s="2">
        <f>M107/F107</f>
        <v/>
      </c>
      <c r="O107" s="2">
        <f>I107*J107/60/M107</f>
        <v/>
      </c>
      <c r="P107" s="2">
        <f>K107/J107</f>
        <v/>
      </c>
      <c r="Q107" s="2">
        <f>N107*O107*P107</f>
        <v/>
      </c>
    </row>
    <row r="108">
      <c r="A108" t="inlineStr">
        <is>
          <t>2026-07-05</t>
        </is>
      </c>
      <c r="B108" t="inlineStr">
        <is>
          <t>주간</t>
        </is>
      </c>
      <c r="C108" t="inlineStr">
        <is>
          <t>P6</t>
        </is>
      </c>
      <c r="D108" t="inlineStr">
        <is>
          <t>포장</t>
        </is>
      </c>
      <c r="E108" t="inlineStr">
        <is>
          <t>PK-01</t>
        </is>
      </c>
      <c r="F108" t="n">
        <v>480</v>
      </c>
      <c r="G108" t="n">
        <v>21</v>
      </c>
      <c r="H108" t="inlineStr">
        <is>
          <t>라벨 교체</t>
        </is>
      </c>
      <c r="I108" t="n">
        <v>4.8</v>
      </c>
      <c r="J108" t="n">
        <v>5144</v>
      </c>
      <c r="K108" t="n">
        <v>5132</v>
      </c>
      <c r="L108" t="inlineStr">
        <is>
          <t>L-0701</t>
        </is>
      </c>
      <c r="M108">
        <f>F108-G108</f>
        <v/>
      </c>
      <c r="N108" s="2">
        <f>M108/F108</f>
        <v/>
      </c>
      <c r="O108" s="2">
        <f>I108*J108/60/M108</f>
        <v/>
      </c>
      <c r="P108" s="2">
        <f>K108/J108</f>
        <v/>
      </c>
      <c r="Q108" s="2">
        <f>N108*O108*P108</f>
        <v/>
      </c>
    </row>
    <row r="109">
      <c r="A109" t="inlineStr">
        <is>
          <t>2026-07-05</t>
        </is>
      </c>
      <c r="B109" t="inlineStr">
        <is>
          <t>주간</t>
        </is>
      </c>
      <c r="C109" t="inlineStr">
        <is>
          <t>P6</t>
        </is>
      </c>
      <c r="D109" t="inlineStr">
        <is>
          <t>포장</t>
        </is>
      </c>
      <c r="E109" t="inlineStr">
        <is>
          <t>PK-02</t>
        </is>
      </c>
      <c r="F109" t="n">
        <v>480</v>
      </c>
      <c r="G109" t="n">
        <v>6</v>
      </c>
      <c r="H109" t="inlineStr">
        <is>
          <t>자재 대기</t>
        </is>
      </c>
      <c r="I109" t="n">
        <v>4.8</v>
      </c>
      <c r="J109" t="n">
        <v>5431</v>
      </c>
      <c r="K109" t="n">
        <v>5421</v>
      </c>
      <c r="L109" t="inlineStr">
        <is>
          <t>L-0701</t>
        </is>
      </c>
      <c r="M109">
        <f>F109-G109</f>
        <v/>
      </c>
      <c r="N109" s="2">
        <f>M109/F109</f>
        <v/>
      </c>
      <c r="O109" s="2">
        <f>I109*J109/60/M109</f>
        <v/>
      </c>
      <c r="P109" s="2">
        <f>K109/J109</f>
        <v/>
      </c>
      <c r="Q109" s="2">
        <f>N109*O109*P109</f>
        <v/>
      </c>
    </row>
    <row r="110">
      <c r="A110" t="inlineStr">
        <is>
          <t>2026-07-05</t>
        </is>
      </c>
      <c r="B110" t="inlineStr">
        <is>
          <t>야간</t>
        </is>
      </c>
      <c r="C110" t="inlineStr">
        <is>
          <t>P1</t>
        </is>
      </c>
      <c r="D110" t="inlineStr">
        <is>
          <t>원료혼합</t>
        </is>
      </c>
      <c r="E110" t="inlineStr">
        <is>
          <t>MX-01</t>
        </is>
      </c>
      <c r="F110" t="n">
        <v>480</v>
      </c>
      <c r="G110" t="n">
        <v>39</v>
      </c>
      <c r="H110" t="inlineStr">
        <is>
          <t>배합 확인</t>
        </is>
      </c>
      <c r="I110" t="n">
        <v>5</v>
      </c>
      <c r="J110" t="n">
        <v>4910</v>
      </c>
      <c r="K110" t="n">
        <v>4882</v>
      </c>
      <c r="L110" t="inlineStr">
        <is>
          <t>L-0701</t>
        </is>
      </c>
      <c r="M110">
        <f>F110-G110</f>
        <v/>
      </c>
      <c r="N110" s="2">
        <f>M110/F110</f>
        <v/>
      </c>
      <c r="O110" s="2">
        <f>I110*J110/60/M110</f>
        <v/>
      </c>
      <c r="P110" s="2">
        <f>K110/J110</f>
        <v/>
      </c>
      <c r="Q110" s="2">
        <f>N110*O110*P110</f>
        <v/>
      </c>
    </row>
    <row r="111">
      <c r="A111" t="inlineStr">
        <is>
          <t>2026-07-05</t>
        </is>
      </c>
      <c r="B111" t="inlineStr">
        <is>
          <t>야간</t>
        </is>
      </c>
      <c r="C111" t="inlineStr">
        <is>
          <t>P1</t>
        </is>
      </c>
      <c r="D111" t="inlineStr">
        <is>
          <t>원료혼합</t>
        </is>
      </c>
      <c r="E111" t="inlineStr">
        <is>
          <t>MX-02</t>
        </is>
      </c>
      <c r="F111" t="n">
        <v>480</v>
      </c>
      <c r="G111" t="n">
        <v>10</v>
      </c>
      <c r="H111" t="inlineStr">
        <is>
          <t>청소</t>
        </is>
      </c>
      <c r="I111" t="n">
        <v>5</v>
      </c>
      <c r="J111" t="n">
        <v>5088</v>
      </c>
      <c r="K111" t="n">
        <v>5049</v>
      </c>
      <c r="L111" t="inlineStr">
        <is>
          <t>L-0701</t>
        </is>
      </c>
      <c r="M111">
        <f>F111-G111</f>
        <v/>
      </c>
      <c r="N111" s="2">
        <f>M111/F111</f>
        <v/>
      </c>
      <c r="O111" s="2">
        <f>I111*J111/60/M111</f>
        <v/>
      </c>
      <c r="P111" s="2">
        <f>K111/J111</f>
        <v/>
      </c>
      <c r="Q111" s="2">
        <f>N111*O111*P111</f>
        <v/>
      </c>
    </row>
    <row r="112">
      <c r="A112" t="inlineStr">
        <is>
          <t>2026-07-05</t>
        </is>
      </c>
      <c r="B112" t="inlineStr">
        <is>
          <t>야간</t>
        </is>
      </c>
      <c r="C112" t="inlineStr">
        <is>
          <t>P2</t>
        </is>
      </c>
      <c r="D112" t="inlineStr">
        <is>
          <t>성형</t>
        </is>
      </c>
      <c r="E112" t="inlineStr">
        <is>
          <t>PR-01</t>
        </is>
      </c>
      <c r="F112" t="n">
        <v>480</v>
      </c>
      <c r="G112" t="n">
        <v>17</v>
      </c>
      <c r="H112" t="inlineStr">
        <is>
          <t>압력 이상</t>
        </is>
      </c>
      <c r="I112" t="n">
        <v>6</v>
      </c>
      <c r="J112" t="n">
        <v>4393</v>
      </c>
      <c r="K112" t="n">
        <v>4347</v>
      </c>
      <c r="L112" t="inlineStr">
        <is>
          <t>L-0701</t>
        </is>
      </c>
      <c r="M112">
        <f>F112-G112</f>
        <v/>
      </c>
      <c r="N112" s="2">
        <f>M112/F112</f>
        <v/>
      </c>
      <c r="O112" s="2">
        <f>I112*J112/60/M112</f>
        <v/>
      </c>
      <c r="P112" s="2">
        <f>K112/J112</f>
        <v/>
      </c>
      <c r="Q112" s="2">
        <f>N112*O112*P112</f>
        <v/>
      </c>
    </row>
    <row r="113">
      <c r="A113" t="inlineStr">
        <is>
          <t>2026-07-05</t>
        </is>
      </c>
      <c r="B113" t="inlineStr">
        <is>
          <t>야간</t>
        </is>
      </c>
      <c r="C113" t="inlineStr">
        <is>
          <t>P2</t>
        </is>
      </c>
      <c r="D113" t="inlineStr">
        <is>
          <t>성형</t>
        </is>
      </c>
      <c r="E113" t="inlineStr">
        <is>
          <t>PR-02</t>
        </is>
      </c>
      <c r="F113" t="n">
        <v>480</v>
      </c>
      <c r="G113" t="n">
        <v>4</v>
      </c>
      <c r="H113" t="inlineStr">
        <is>
          <t>분말 공급 지연</t>
        </is>
      </c>
      <c r="I113" t="n">
        <v>6</v>
      </c>
      <c r="J113" t="n">
        <v>4483</v>
      </c>
      <c r="K113" t="n">
        <v>4440</v>
      </c>
      <c r="L113" t="inlineStr">
        <is>
          <t>L-0701</t>
        </is>
      </c>
      <c r="M113">
        <f>F113-G113</f>
        <v/>
      </c>
      <c r="N113" s="2">
        <f>M113/F113</f>
        <v/>
      </c>
      <c r="O113" s="2">
        <f>I113*J113/60/M113</f>
        <v/>
      </c>
      <c r="P113" s="2">
        <f>K113/J113</f>
        <v/>
      </c>
      <c r="Q113" s="2">
        <f>N113*O113*P113</f>
        <v/>
      </c>
    </row>
    <row r="114">
      <c r="A114" t="inlineStr">
        <is>
          <t>2026-07-05</t>
        </is>
      </c>
      <c r="B114" t="inlineStr">
        <is>
          <t>야간</t>
        </is>
      </c>
      <c r="C114" t="inlineStr">
        <is>
          <t>P3</t>
        </is>
      </c>
      <c r="D114" t="inlineStr">
        <is>
          <t>소결</t>
        </is>
      </c>
      <c r="E114" t="inlineStr">
        <is>
          <t>SF-01</t>
        </is>
      </c>
      <c r="F114" t="n">
        <v>480</v>
      </c>
      <c r="G114" t="n">
        <v>66</v>
      </c>
      <c r="H114" t="inlineStr">
        <is>
          <t>장입 대기</t>
        </is>
      </c>
      <c r="I114" t="n">
        <v>6.5</v>
      </c>
      <c r="J114" t="n">
        <v>3492</v>
      </c>
      <c r="K114" t="n">
        <v>3421</v>
      </c>
      <c r="L114" t="inlineStr">
        <is>
          <t>L-0701</t>
        </is>
      </c>
      <c r="M114">
        <f>F114-G114</f>
        <v/>
      </c>
      <c r="N114" s="2">
        <f>M114/F114</f>
        <v/>
      </c>
      <c r="O114" s="2">
        <f>I114*J114/60/M114</f>
        <v/>
      </c>
      <c r="P114" s="2">
        <f>K114/J114</f>
        <v/>
      </c>
      <c r="Q114" s="2">
        <f>N114*O114*P114</f>
        <v/>
      </c>
    </row>
    <row r="115">
      <c r="A115" t="inlineStr">
        <is>
          <t>2026-07-05</t>
        </is>
      </c>
      <c r="B115" t="inlineStr">
        <is>
          <t>야간</t>
        </is>
      </c>
      <c r="C115" t="inlineStr">
        <is>
          <t>P3</t>
        </is>
      </c>
      <c r="D115" t="inlineStr">
        <is>
          <t>소결</t>
        </is>
      </c>
      <c r="E115" t="inlineStr">
        <is>
          <t>SF-02</t>
        </is>
      </c>
      <c r="F115" t="n">
        <v>480</v>
      </c>
      <c r="G115" t="n">
        <v>31</v>
      </c>
      <c r="H115" t="inlineStr">
        <is>
          <t>장입 대기</t>
        </is>
      </c>
      <c r="I115" t="n">
        <v>6.5</v>
      </c>
      <c r="J115" t="n">
        <v>3833</v>
      </c>
      <c r="K115" t="n">
        <v>3751</v>
      </c>
      <c r="L115" t="inlineStr">
        <is>
          <t>L-0701</t>
        </is>
      </c>
      <c r="M115">
        <f>F115-G115</f>
        <v/>
      </c>
      <c r="N115" s="2">
        <f>M115/F115</f>
        <v/>
      </c>
      <c r="O115" s="2">
        <f>I115*J115/60/M115</f>
        <v/>
      </c>
      <c r="P115" s="2">
        <f>K115/J115</f>
        <v/>
      </c>
      <c r="Q115" s="2">
        <f>N115*O115*P115</f>
        <v/>
      </c>
    </row>
    <row r="116">
      <c r="A116" t="inlineStr">
        <is>
          <t>2026-07-05</t>
        </is>
      </c>
      <c r="B116" t="inlineStr">
        <is>
          <t>야간</t>
        </is>
      </c>
      <c r="C116" t="inlineStr">
        <is>
          <t>P4</t>
        </is>
      </c>
      <c r="D116" t="inlineStr">
        <is>
          <t>연삭</t>
        </is>
      </c>
      <c r="E116" t="inlineStr">
        <is>
          <t>GR-01</t>
        </is>
      </c>
      <c r="F116" t="n">
        <v>480</v>
      </c>
      <c r="G116" t="n">
        <v>37</v>
      </c>
      <c r="H116" t="inlineStr">
        <is>
          <t>드레싱</t>
        </is>
      </c>
      <c r="I116" t="n">
        <v>6.2</v>
      </c>
      <c r="J116" t="n">
        <v>3967</v>
      </c>
      <c r="K116" t="n">
        <v>3916</v>
      </c>
      <c r="L116" t="inlineStr">
        <is>
          <t>L-0701</t>
        </is>
      </c>
      <c r="M116">
        <f>F116-G116</f>
        <v/>
      </c>
      <c r="N116" s="2">
        <f>M116/F116</f>
        <v/>
      </c>
      <c r="O116" s="2">
        <f>I116*J116/60/M116</f>
        <v/>
      </c>
      <c r="P116" s="2">
        <f>K116/J116</f>
        <v/>
      </c>
      <c r="Q116" s="2">
        <f>N116*O116*P116</f>
        <v/>
      </c>
    </row>
    <row r="117">
      <c r="A117" t="inlineStr">
        <is>
          <t>2026-07-05</t>
        </is>
      </c>
      <c r="B117" t="inlineStr">
        <is>
          <t>야간</t>
        </is>
      </c>
      <c r="C117" t="inlineStr">
        <is>
          <t>P4</t>
        </is>
      </c>
      <c r="D117" t="inlineStr">
        <is>
          <t>연삭</t>
        </is>
      </c>
      <c r="E117" t="inlineStr">
        <is>
          <t>GR-02</t>
        </is>
      </c>
      <c r="F117" t="n">
        <v>480</v>
      </c>
      <c r="G117" t="n">
        <v>81</v>
      </c>
      <c r="H117" t="inlineStr">
        <is>
          <t>공구 교체</t>
        </is>
      </c>
      <c r="I117" t="n">
        <v>6.2</v>
      </c>
      <c r="J117" t="n">
        <v>3685</v>
      </c>
      <c r="K117" t="n">
        <v>3646</v>
      </c>
      <c r="L117" t="inlineStr">
        <is>
          <t>L-0701</t>
        </is>
      </c>
      <c r="M117">
        <f>F117-G117</f>
        <v/>
      </c>
      <c r="N117" s="2">
        <f>M117/F117</f>
        <v/>
      </c>
      <c r="O117" s="2">
        <f>I117*J117/60/M117</f>
        <v/>
      </c>
      <c r="P117" s="2">
        <f>K117/J117</f>
        <v/>
      </c>
      <c r="Q117" s="2">
        <f>N117*O117*P117</f>
        <v/>
      </c>
    </row>
    <row r="118">
      <c r="A118" t="inlineStr">
        <is>
          <t>2026-07-05</t>
        </is>
      </c>
      <c r="B118" t="inlineStr">
        <is>
          <t>야간</t>
        </is>
      </c>
      <c r="C118" t="inlineStr">
        <is>
          <t>P5</t>
        </is>
      </c>
      <c r="D118" t="inlineStr">
        <is>
          <t>검사</t>
        </is>
      </c>
      <c r="E118" t="inlineStr">
        <is>
          <t>IN-01</t>
        </is>
      </c>
      <c r="F118" t="n">
        <v>480</v>
      </c>
      <c r="G118" t="n">
        <v>40</v>
      </c>
      <c r="H118" t="inlineStr">
        <is>
          <t>측정기 교정</t>
        </is>
      </c>
      <c r="I118" t="n">
        <v>5.5</v>
      </c>
      <c r="J118" t="n">
        <v>4569</v>
      </c>
      <c r="K118" t="n">
        <v>4555</v>
      </c>
      <c r="L118" t="inlineStr">
        <is>
          <t>L-0701</t>
        </is>
      </c>
      <c r="M118">
        <f>F118-G118</f>
        <v/>
      </c>
      <c r="N118" s="2">
        <f>M118/F118</f>
        <v/>
      </c>
      <c r="O118" s="2">
        <f>I118*J118/60/M118</f>
        <v/>
      </c>
      <c r="P118" s="2">
        <f>K118/J118</f>
        <v/>
      </c>
      <c r="Q118" s="2">
        <f>N118*O118*P118</f>
        <v/>
      </c>
    </row>
    <row r="119">
      <c r="A119" t="inlineStr">
        <is>
          <t>2026-07-05</t>
        </is>
      </c>
      <c r="B119" t="inlineStr">
        <is>
          <t>야간</t>
        </is>
      </c>
      <c r="C119" t="inlineStr">
        <is>
          <t>P5</t>
        </is>
      </c>
      <c r="D119" t="inlineStr">
        <is>
          <t>검사</t>
        </is>
      </c>
      <c r="E119" t="inlineStr">
        <is>
          <t>IN-02</t>
        </is>
      </c>
      <c r="F119" t="n">
        <v>480</v>
      </c>
      <c r="G119" t="n">
        <v>26</v>
      </c>
      <c r="H119" t="inlineStr">
        <is>
          <t>샘플 재검</t>
        </is>
      </c>
      <c r="I119" t="n">
        <v>5.5</v>
      </c>
      <c r="J119" t="n">
        <v>4405</v>
      </c>
      <c r="K119" t="n">
        <v>4388</v>
      </c>
      <c r="L119" t="inlineStr">
        <is>
          <t>L-0701</t>
        </is>
      </c>
      <c r="M119">
        <f>F119-G119</f>
        <v/>
      </c>
      <c r="N119" s="2">
        <f>M119/F119</f>
        <v/>
      </c>
      <c r="O119" s="2">
        <f>I119*J119/60/M119</f>
        <v/>
      </c>
      <c r="P119" s="2">
        <f>K119/J119</f>
        <v/>
      </c>
      <c r="Q119" s="2">
        <f>N119*O119*P119</f>
        <v/>
      </c>
    </row>
    <row r="120">
      <c r="A120" t="inlineStr">
        <is>
          <t>2026-07-05</t>
        </is>
      </c>
      <c r="B120" t="inlineStr">
        <is>
          <t>야간</t>
        </is>
      </c>
      <c r="C120" t="inlineStr">
        <is>
          <t>P6</t>
        </is>
      </c>
      <c r="D120" t="inlineStr">
        <is>
          <t>포장</t>
        </is>
      </c>
      <c r="E120" t="inlineStr">
        <is>
          <t>PK-01</t>
        </is>
      </c>
      <c r="F120" t="n">
        <v>480</v>
      </c>
      <c r="G120" t="n">
        <v>25</v>
      </c>
      <c r="H120" t="inlineStr">
        <is>
          <t>자재 대기</t>
        </is>
      </c>
      <c r="I120" t="n">
        <v>4.8</v>
      </c>
      <c r="J120" t="n">
        <v>5015</v>
      </c>
      <c r="K120" t="n">
        <v>5001</v>
      </c>
      <c r="L120" t="inlineStr">
        <is>
          <t>L-0701</t>
        </is>
      </c>
      <c r="M120">
        <f>F120-G120</f>
        <v/>
      </c>
      <c r="N120" s="2">
        <f>M120/F120</f>
        <v/>
      </c>
      <c r="O120" s="2">
        <f>I120*J120/60/M120</f>
        <v/>
      </c>
      <c r="P120" s="2">
        <f>K120/J120</f>
        <v/>
      </c>
      <c r="Q120" s="2">
        <f>N120*O120*P120</f>
        <v/>
      </c>
    </row>
    <row r="121">
      <c r="A121" t="inlineStr">
        <is>
          <t>2026-07-05</t>
        </is>
      </c>
      <c r="B121" t="inlineStr">
        <is>
          <t>야간</t>
        </is>
      </c>
      <c r="C121" t="inlineStr">
        <is>
          <t>P6</t>
        </is>
      </c>
      <c r="D121" t="inlineStr">
        <is>
          <t>포장</t>
        </is>
      </c>
      <c r="E121" t="inlineStr">
        <is>
          <t>PK-02</t>
        </is>
      </c>
      <c r="F121" t="n">
        <v>480</v>
      </c>
      <c r="G121" t="n">
        <v>45</v>
      </c>
      <c r="H121" t="inlineStr">
        <is>
          <t>자재 대기</t>
        </is>
      </c>
      <c r="I121" t="n">
        <v>4.8</v>
      </c>
      <c r="J121" t="n">
        <v>5011</v>
      </c>
      <c r="K121" t="n">
        <v>4995</v>
      </c>
      <c r="L121" t="inlineStr">
        <is>
          <t>L-0701</t>
        </is>
      </c>
      <c r="M121">
        <f>F121-G121</f>
        <v/>
      </c>
      <c r="N121" s="2">
        <f>M121/F121</f>
        <v/>
      </c>
      <c r="O121" s="2">
        <f>I121*J121/60/M121</f>
        <v/>
      </c>
      <c r="P121" s="2">
        <f>K121/J121</f>
        <v/>
      </c>
      <c r="Q121" s="2">
        <f>N121*O121*P121</f>
        <v/>
      </c>
    </row>
    <row r="122">
      <c r="A122" t="inlineStr">
        <is>
          <t>2026-07-06</t>
        </is>
      </c>
      <c r="B122" t="inlineStr">
        <is>
          <t>주간</t>
        </is>
      </c>
      <c r="C122" t="inlineStr">
        <is>
          <t>P1</t>
        </is>
      </c>
      <c r="D122" t="inlineStr">
        <is>
          <t>원료혼합</t>
        </is>
      </c>
      <c r="E122" t="inlineStr">
        <is>
          <t>MX-01</t>
        </is>
      </c>
      <c r="F122" t="n">
        <v>480</v>
      </c>
      <c r="G122" t="n">
        <v>19</v>
      </c>
      <c r="H122" t="inlineStr">
        <is>
          <t>배합 확인</t>
        </is>
      </c>
      <c r="I122" t="n">
        <v>5</v>
      </c>
      <c r="J122" t="n">
        <v>5062</v>
      </c>
      <c r="K122" t="n">
        <v>5034</v>
      </c>
      <c r="L122" t="inlineStr">
        <is>
          <t>L-0701</t>
        </is>
      </c>
      <c r="M122">
        <f>F122-G122</f>
        <v/>
      </c>
      <c r="N122" s="2">
        <f>M122/F122</f>
        <v/>
      </c>
      <c r="O122" s="2">
        <f>I122*J122/60/M122</f>
        <v/>
      </c>
      <c r="P122" s="2">
        <f>K122/J122</f>
        <v/>
      </c>
      <c r="Q122" s="2">
        <f>N122*O122*P122</f>
        <v/>
      </c>
    </row>
    <row r="123">
      <c r="A123" t="inlineStr">
        <is>
          <t>2026-07-06</t>
        </is>
      </c>
      <c r="B123" t="inlineStr">
        <is>
          <t>주간</t>
        </is>
      </c>
      <c r="C123" t="inlineStr">
        <is>
          <t>P1</t>
        </is>
      </c>
      <c r="D123" t="inlineStr">
        <is>
          <t>원료혼합</t>
        </is>
      </c>
      <c r="E123" t="inlineStr">
        <is>
          <t>MX-02</t>
        </is>
      </c>
      <c r="F123" t="n">
        <v>480</v>
      </c>
      <c r="G123" t="n">
        <v>16</v>
      </c>
      <c r="H123" t="inlineStr">
        <is>
          <t>원료 대기</t>
        </is>
      </c>
      <c r="I123" t="n">
        <v>5</v>
      </c>
      <c r="J123" t="n">
        <v>5220</v>
      </c>
      <c r="K123" t="n">
        <v>5188</v>
      </c>
      <c r="L123" t="inlineStr">
        <is>
          <t>L-0701</t>
        </is>
      </c>
      <c r="M123">
        <f>F123-G123</f>
        <v/>
      </c>
      <c r="N123" s="2">
        <f>M123/F123</f>
        <v/>
      </c>
      <c r="O123" s="2">
        <f>I123*J123/60/M123</f>
        <v/>
      </c>
      <c r="P123" s="2">
        <f>K123/J123</f>
        <v/>
      </c>
      <c r="Q123" s="2">
        <f>N123*O123*P123</f>
        <v/>
      </c>
    </row>
    <row r="124">
      <c r="A124" t="inlineStr">
        <is>
          <t>2026-07-06</t>
        </is>
      </c>
      <c r="B124" t="inlineStr">
        <is>
          <t>주간</t>
        </is>
      </c>
      <c r="C124" t="inlineStr">
        <is>
          <t>P2</t>
        </is>
      </c>
      <c r="D124" t="inlineStr">
        <is>
          <t>성형</t>
        </is>
      </c>
      <c r="E124" t="inlineStr">
        <is>
          <t>PR-01</t>
        </is>
      </c>
      <c r="F124" t="n">
        <v>480</v>
      </c>
      <c r="G124" t="n">
        <v>36</v>
      </c>
      <c r="H124" t="inlineStr">
        <is>
          <t>금형 교체</t>
        </is>
      </c>
      <c r="I124" t="n">
        <v>6</v>
      </c>
      <c r="J124" t="n">
        <v>4048</v>
      </c>
      <c r="K124" t="n">
        <v>4004</v>
      </c>
      <c r="L124" t="inlineStr">
        <is>
          <t>L-0701</t>
        </is>
      </c>
      <c r="M124">
        <f>F124-G124</f>
        <v/>
      </c>
      <c r="N124" s="2">
        <f>M124/F124</f>
        <v/>
      </c>
      <c r="O124" s="2">
        <f>I124*J124/60/M124</f>
        <v/>
      </c>
      <c r="P124" s="2">
        <f>K124/J124</f>
        <v/>
      </c>
      <c r="Q124" s="2">
        <f>N124*O124*P124</f>
        <v/>
      </c>
    </row>
    <row r="125">
      <c r="A125" t="inlineStr">
        <is>
          <t>2026-07-06</t>
        </is>
      </c>
      <c r="B125" t="inlineStr">
        <is>
          <t>주간</t>
        </is>
      </c>
      <c r="C125" t="inlineStr">
        <is>
          <t>P2</t>
        </is>
      </c>
      <c r="D125" t="inlineStr">
        <is>
          <t>성형</t>
        </is>
      </c>
      <c r="E125" t="inlineStr">
        <is>
          <t>PR-02</t>
        </is>
      </c>
      <c r="F125" t="n">
        <v>480</v>
      </c>
      <c r="G125" t="n">
        <v>29</v>
      </c>
      <c r="H125" t="inlineStr">
        <is>
          <t>분말 공급 지연</t>
        </is>
      </c>
      <c r="I125" t="n">
        <v>6</v>
      </c>
      <c r="J125" t="n">
        <v>4197</v>
      </c>
      <c r="K125" t="n">
        <v>4162</v>
      </c>
      <c r="L125" t="inlineStr">
        <is>
          <t>L-0701</t>
        </is>
      </c>
      <c r="M125">
        <f>F125-G125</f>
        <v/>
      </c>
      <c r="N125" s="2">
        <f>M125/F125</f>
        <v/>
      </c>
      <c r="O125" s="2">
        <f>I125*J125/60/M125</f>
        <v/>
      </c>
      <c r="P125" s="2">
        <f>K125/J125</f>
        <v/>
      </c>
      <c r="Q125" s="2">
        <f>N125*O125*P125</f>
        <v/>
      </c>
    </row>
    <row r="126">
      <c r="A126" t="inlineStr">
        <is>
          <t>2026-07-06</t>
        </is>
      </c>
      <c r="B126" t="inlineStr">
        <is>
          <t>주간</t>
        </is>
      </c>
      <c r="C126" t="inlineStr">
        <is>
          <t>P3</t>
        </is>
      </c>
      <c r="D126" t="inlineStr">
        <is>
          <t>소결</t>
        </is>
      </c>
      <c r="E126" t="inlineStr">
        <is>
          <t>SF-01</t>
        </is>
      </c>
      <c r="F126" t="n">
        <v>480</v>
      </c>
      <c r="G126" t="n">
        <v>51</v>
      </c>
      <c r="H126" t="inlineStr">
        <is>
          <t>승온 대기</t>
        </is>
      </c>
      <c r="I126" t="n">
        <v>6.5</v>
      </c>
      <c r="J126" t="n">
        <v>3815</v>
      </c>
      <c r="K126" t="n">
        <v>3749</v>
      </c>
      <c r="L126" t="inlineStr">
        <is>
          <t>L-0701</t>
        </is>
      </c>
      <c r="M126">
        <f>F126-G126</f>
        <v/>
      </c>
      <c r="N126" s="2">
        <f>M126/F126</f>
        <v/>
      </c>
      <c r="O126" s="2">
        <f>I126*J126/60/M126</f>
        <v/>
      </c>
      <c r="P126" s="2">
        <f>K126/J126</f>
        <v/>
      </c>
      <c r="Q126" s="2">
        <f>N126*O126*P126</f>
        <v/>
      </c>
    </row>
    <row r="127">
      <c r="A127" t="inlineStr">
        <is>
          <t>2026-07-06</t>
        </is>
      </c>
      <c r="B127" t="inlineStr">
        <is>
          <t>주간</t>
        </is>
      </c>
      <c r="C127" t="inlineStr">
        <is>
          <t>P3</t>
        </is>
      </c>
      <c r="D127" t="inlineStr">
        <is>
          <t>소결</t>
        </is>
      </c>
      <c r="E127" t="inlineStr">
        <is>
          <t>SF-02</t>
        </is>
      </c>
      <c r="F127" t="n">
        <v>480</v>
      </c>
      <c r="G127" t="n">
        <v>25</v>
      </c>
      <c r="H127" t="inlineStr">
        <is>
          <t>승온 대기</t>
        </is>
      </c>
      <c r="I127" t="n">
        <v>6.5</v>
      </c>
      <c r="J127" t="n">
        <v>3937</v>
      </c>
      <c r="K127" t="n">
        <v>3865</v>
      </c>
      <c r="L127" t="inlineStr">
        <is>
          <t>L-0701</t>
        </is>
      </c>
      <c r="M127">
        <f>F127-G127</f>
        <v/>
      </c>
      <c r="N127" s="2">
        <f>M127/F127</f>
        <v/>
      </c>
      <c r="O127" s="2">
        <f>I127*J127/60/M127</f>
        <v/>
      </c>
      <c r="P127" s="2">
        <f>K127/J127</f>
        <v/>
      </c>
      <c r="Q127" s="2">
        <f>N127*O127*P127</f>
        <v/>
      </c>
    </row>
    <row r="128">
      <c r="A128" t="inlineStr">
        <is>
          <t>2026-07-06</t>
        </is>
      </c>
      <c r="B128" t="inlineStr">
        <is>
          <t>주간</t>
        </is>
      </c>
      <c r="C128" t="inlineStr">
        <is>
          <t>P4</t>
        </is>
      </c>
      <c r="D128" t="inlineStr">
        <is>
          <t>연삭</t>
        </is>
      </c>
      <c r="E128" t="inlineStr">
        <is>
          <t>GR-01</t>
        </is>
      </c>
      <c r="F128" t="n">
        <v>480</v>
      </c>
      <c r="G128" t="n">
        <v>106</v>
      </c>
      <c r="H128" t="inlineStr">
        <is>
          <t>공구 교체</t>
        </is>
      </c>
      <c r="I128" t="n">
        <v>6.2</v>
      </c>
      <c r="J128" t="n">
        <v>3326</v>
      </c>
      <c r="K128" t="n">
        <v>3299</v>
      </c>
      <c r="L128" t="inlineStr">
        <is>
          <t>L-0701</t>
        </is>
      </c>
      <c r="M128">
        <f>F128-G128</f>
        <v/>
      </c>
      <c r="N128" s="2">
        <f>M128/F128</f>
        <v/>
      </c>
      <c r="O128" s="2">
        <f>I128*J128/60/M128</f>
        <v/>
      </c>
      <c r="P128" s="2">
        <f>K128/J128</f>
        <v/>
      </c>
      <c r="Q128" s="2">
        <f>N128*O128*P128</f>
        <v/>
      </c>
    </row>
    <row r="129">
      <c r="A129" t="inlineStr">
        <is>
          <t>2026-07-06</t>
        </is>
      </c>
      <c r="B129" t="inlineStr">
        <is>
          <t>주간</t>
        </is>
      </c>
      <c r="C129" t="inlineStr">
        <is>
          <t>P4</t>
        </is>
      </c>
      <c r="D129" t="inlineStr">
        <is>
          <t>연삭</t>
        </is>
      </c>
      <c r="E129" t="inlineStr">
        <is>
          <t>GR-02</t>
        </is>
      </c>
      <c r="F129" t="n">
        <v>480</v>
      </c>
      <c r="G129" t="n">
        <v>72</v>
      </c>
      <c r="H129" t="inlineStr">
        <is>
          <t>공구 교체</t>
        </is>
      </c>
      <c r="I129" t="n">
        <v>6.2</v>
      </c>
      <c r="J129" t="n">
        <v>3612</v>
      </c>
      <c r="K129" t="n">
        <v>3576</v>
      </c>
      <c r="L129" t="inlineStr">
        <is>
          <t>L-0701</t>
        </is>
      </c>
      <c r="M129">
        <f>F129-G129</f>
        <v/>
      </c>
      <c r="N129" s="2">
        <f>M129/F129</f>
        <v/>
      </c>
      <c r="O129" s="2">
        <f>I129*J129/60/M129</f>
        <v/>
      </c>
      <c r="P129" s="2">
        <f>K129/J129</f>
        <v/>
      </c>
      <c r="Q129" s="2">
        <f>N129*O129*P129</f>
        <v/>
      </c>
    </row>
    <row r="130">
      <c r="A130" t="inlineStr">
        <is>
          <t>2026-07-06</t>
        </is>
      </c>
      <c r="B130" t="inlineStr">
        <is>
          <t>주간</t>
        </is>
      </c>
      <c r="C130" t="inlineStr">
        <is>
          <t>P5</t>
        </is>
      </c>
      <c r="D130" t="inlineStr">
        <is>
          <t>검사</t>
        </is>
      </c>
      <c r="E130" t="inlineStr">
        <is>
          <t>IN-01</t>
        </is>
      </c>
      <c r="F130" t="n">
        <v>480</v>
      </c>
      <c r="G130" t="n">
        <v>91</v>
      </c>
      <c r="H130" t="inlineStr">
        <is>
          <t>측정기 교정</t>
        </is>
      </c>
      <c r="I130" t="n">
        <v>5.5</v>
      </c>
      <c r="J130" t="n">
        <v>3806</v>
      </c>
      <c r="K130" t="n">
        <v>3797</v>
      </c>
      <c r="L130" t="inlineStr">
        <is>
          <t>L-0701</t>
        </is>
      </c>
      <c r="M130">
        <f>F130-G130</f>
        <v/>
      </c>
      <c r="N130" s="2">
        <f>M130/F130</f>
        <v/>
      </c>
      <c r="O130" s="2">
        <f>I130*J130/60/M130</f>
        <v/>
      </c>
      <c r="P130" s="2">
        <f>K130/J130</f>
        <v/>
      </c>
      <c r="Q130" s="2">
        <f>N130*O130*P130</f>
        <v/>
      </c>
    </row>
    <row r="131">
      <c r="A131" t="inlineStr">
        <is>
          <t>2026-07-06</t>
        </is>
      </c>
      <c r="B131" t="inlineStr">
        <is>
          <t>주간</t>
        </is>
      </c>
      <c r="C131" t="inlineStr">
        <is>
          <t>P5</t>
        </is>
      </c>
      <c r="D131" t="inlineStr">
        <is>
          <t>검사</t>
        </is>
      </c>
      <c r="E131" t="inlineStr">
        <is>
          <t>IN-02</t>
        </is>
      </c>
      <c r="F131" t="n">
        <v>480</v>
      </c>
      <c r="G131" t="n">
        <v>80</v>
      </c>
      <c r="H131" t="inlineStr">
        <is>
          <t>측정기 교정</t>
        </is>
      </c>
      <c r="I131" t="n">
        <v>5.5</v>
      </c>
      <c r="J131" t="n">
        <v>3881</v>
      </c>
      <c r="K131" t="n">
        <v>3870</v>
      </c>
      <c r="L131" t="inlineStr">
        <is>
          <t>L-0701</t>
        </is>
      </c>
      <c r="M131">
        <f>F131-G131</f>
        <v/>
      </c>
      <c r="N131" s="2">
        <f>M131/F131</f>
        <v/>
      </c>
      <c r="O131" s="2">
        <f>I131*J131/60/M131</f>
        <v/>
      </c>
      <c r="P131" s="2">
        <f>K131/J131</f>
        <v/>
      </c>
      <c r="Q131" s="2">
        <f>N131*O131*P131</f>
        <v/>
      </c>
    </row>
    <row r="132">
      <c r="A132" t="inlineStr">
        <is>
          <t>2026-07-06</t>
        </is>
      </c>
      <c r="B132" t="inlineStr">
        <is>
          <t>주간</t>
        </is>
      </c>
      <c r="C132" t="inlineStr">
        <is>
          <t>P6</t>
        </is>
      </c>
      <c r="D132" t="inlineStr">
        <is>
          <t>포장</t>
        </is>
      </c>
      <c r="E132" t="inlineStr">
        <is>
          <t>PK-01</t>
        </is>
      </c>
      <c r="F132" t="n">
        <v>480</v>
      </c>
      <c r="G132" t="n">
        <v>3</v>
      </c>
      <c r="H132" t="inlineStr">
        <is>
          <t>자재 대기</t>
        </is>
      </c>
      <c r="I132" t="n">
        <v>4.8</v>
      </c>
      <c r="J132" t="n">
        <v>5484</v>
      </c>
      <c r="K132" t="n">
        <v>5474</v>
      </c>
      <c r="L132" t="inlineStr">
        <is>
          <t>L-0701</t>
        </is>
      </c>
      <c r="M132">
        <f>F132-G132</f>
        <v/>
      </c>
      <c r="N132" s="2">
        <f>M132/F132</f>
        <v/>
      </c>
      <c r="O132" s="2">
        <f>I132*J132/60/M132</f>
        <v/>
      </c>
      <c r="P132" s="2">
        <f>K132/J132</f>
        <v/>
      </c>
      <c r="Q132" s="2">
        <f>N132*O132*P132</f>
        <v/>
      </c>
    </row>
    <row r="133">
      <c r="A133" t="inlineStr">
        <is>
          <t>2026-07-06</t>
        </is>
      </c>
      <c r="B133" t="inlineStr">
        <is>
          <t>주간</t>
        </is>
      </c>
      <c r="C133" t="inlineStr">
        <is>
          <t>P6</t>
        </is>
      </c>
      <c r="D133" t="inlineStr">
        <is>
          <t>포장</t>
        </is>
      </c>
      <c r="E133" t="inlineStr">
        <is>
          <t>PK-02</t>
        </is>
      </c>
      <c r="F133" t="n">
        <v>480</v>
      </c>
      <c r="G133" t="n">
        <v>13</v>
      </c>
      <c r="H133" t="inlineStr">
        <is>
          <t>자재 대기</t>
        </is>
      </c>
      <c r="I133" t="n">
        <v>4.8</v>
      </c>
      <c r="J133" t="n">
        <v>5595</v>
      </c>
      <c r="K133" t="n">
        <v>5583</v>
      </c>
      <c r="L133" t="inlineStr">
        <is>
          <t>L-0701</t>
        </is>
      </c>
      <c r="M133">
        <f>F133-G133</f>
        <v/>
      </c>
      <c r="N133" s="2">
        <f>M133/F133</f>
        <v/>
      </c>
      <c r="O133" s="2">
        <f>I133*J133/60/M133</f>
        <v/>
      </c>
      <c r="P133" s="2">
        <f>K133/J133</f>
        <v/>
      </c>
      <c r="Q133" s="2">
        <f>N133*O133*P133</f>
        <v/>
      </c>
    </row>
    <row r="134">
      <c r="A134" t="inlineStr">
        <is>
          <t>2026-07-06</t>
        </is>
      </c>
      <c r="B134" t="inlineStr">
        <is>
          <t>야간</t>
        </is>
      </c>
      <c r="C134" t="inlineStr">
        <is>
          <t>P1</t>
        </is>
      </c>
      <c r="D134" t="inlineStr">
        <is>
          <t>원료혼합</t>
        </is>
      </c>
      <c r="E134" t="inlineStr">
        <is>
          <t>MX-01</t>
        </is>
      </c>
      <c r="F134" t="n">
        <v>480</v>
      </c>
      <c r="G134" t="n">
        <v>7</v>
      </c>
      <c r="H134" t="inlineStr">
        <is>
          <t>청소</t>
        </is>
      </c>
      <c r="I134" t="n">
        <v>5</v>
      </c>
      <c r="J134" t="n">
        <v>5450</v>
      </c>
      <c r="K134" t="n">
        <v>5412</v>
      </c>
      <c r="L134" t="inlineStr">
        <is>
          <t>L-0701</t>
        </is>
      </c>
      <c r="M134">
        <f>F134-G134</f>
        <v/>
      </c>
      <c r="N134" s="2">
        <f>M134/F134</f>
        <v/>
      </c>
      <c r="O134" s="2">
        <f>I134*J134/60/M134</f>
        <v/>
      </c>
      <c r="P134" s="2">
        <f>K134/J134</f>
        <v/>
      </c>
      <c r="Q134" s="2">
        <f>N134*O134*P134</f>
        <v/>
      </c>
    </row>
    <row r="135">
      <c r="A135" t="inlineStr">
        <is>
          <t>2026-07-06</t>
        </is>
      </c>
      <c r="B135" t="inlineStr">
        <is>
          <t>야간</t>
        </is>
      </c>
      <c r="C135" t="inlineStr">
        <is>
          <t>P1</t>
        </is>
      </c>
      <c r="D135" t="inlineStr">
        <is>
          <t>원료혼합</t>
        </is>
      </c>
      <c r="E135" t="inlineStr">
        <is>
          <t>MX-02</t>
        </is>
      </c>
      <c r="F135" t="n">
        <v>480</v>
      </c>
      <c r="G135" t="n">
        <v>16</v>
      </c>
      <c r="H135" t="inlineStr">
        <is>
          <t>원료 대기</t>
        </is>
      </c>
      <c r="I135" t="n">
        <v>5</v>
      </c>
      <c r="J135" t="n">
        <v>5512</v>
      </c>
      <c r="K135" t="n">
        <v>5473</v>
      </c>
      <c r="L135" t="inlineStr">
        <is>
          <t>L-0701</t>
        </is>
      </c>
      <c r="M135">
        <f>F135-G135</f>
        <v/>
      </c>
      <c r="N135" s="2">
        <f>M135/F135</f>
        <v/>
      </c>
      <c r="O135" s="2">
        <f>I135*J135/60/M135</f>
        <v/>
      </c>
      <c r="P135" s="2">
        <f>K135/J135</f>
        <v/>
      </c>
      <c r="Q135" s="2">
        <f>N135*O135*P135</f>
        <v/>
      </c>
    </row>
    <row r="136">
      <c r="A136" t="inlineStr">
        <is>
          <t>2026-07-06</t>
        </is>
      </c>
      <c r="B136" t="inlineStr">
        <is>
          <t>야간</t>
        </is>
      </c>
      <c r="C136" t="inlineStr">
        <is>
          <t>P2</t>
        </is>
      </c>
      <c r="D136" t="inlineStr">
        <is>
          <t>성형</t>
        </is>
      </c>
      <c r="E136" t="inlineStr">
        <is>
          <t>PR-01</t>
        </is>
      </c>
      <c r="F136" t="n">
        <v>480</v>
      </c>
      <c r="G136" t="n">
        <v>29</v>
      </c>
      <c r="H136" t="inlineStr">
        <is>
          <t>금형 교체</t>
        </is>
      </c>
      <c r="I136" t="n">
        <v>6</v>
      </c>
      <c r="J136" t="n">
        <v>4019</v>
      </c>
      <c r="K136" t="n">
        <v>3982</v>
      </c>
      <c r="L136" t="inlineStr">
        <is>
          <t>L-0701</t>
        </is>
      </c>
      <c r="M136">
        <f>F136-G136</f>
        <v/>
      </c>
      <c r="N136" s="2">
        <f>M136/F136</f>
        <v/>
      </c>
      <c r="O136" s="2">
        <f>I136*J136/60/M136</f>
        <v/>
      </c>
      <c r="P136" s="2">
        <f>K136/J136</f>
        <v/>
      </c>
      <c r="Q136" s="2">
        <f>N136*O136*P136</f>
        <v/>
      </c>
    </row>
    <row r="137">
      <c r="A137" t="inlineStr">
        <is>
          <t>2026-07-06</t>
        </is>
      </c>
      <c r="B137" t="inlineStr">
        <is>
          <t>야간</t>
        </is>
      </c>
      <c r="C137" t="inlineStr">
        <is>
          <t>P2</t>
        </is>
      </c>
      <c r="D137" t="inlineStr">
        <is>
          <t>성형</t>
        </is>
      </c>
      <c r="E137" t="inlineStr">
        <is>
          <t>PR-02</t>
        </is>
      </c>
      <c r="F137" t="n">
        <v>480</v>
      </c>
      <c r="G137" t="n">
        <v>47</v>
      </c>
      <c r="H137" t="inlineStr">
        <is>
          <t>금형 교체</t>
        </is>
      </c>
      <c r="I137" t="n">
        <v>6</v>
      </c>
      <c r="J137" t="n">
        <v>3936</v>
      </c>
      <c r="K137" t="n">
        <v>3900</v>
      </c>
      <c r="L137" t="inlineStr">
        <is>
          <t>L-0701</t>
        </is>
      </c>
      <c r="M137">
        <f>F137-G137</f>
        <v/>
      </c>
      <c r="N137" s="2">
        <f>M137/F137</f>
        <v/>
      </c>
      <c r="O137" s="2">
        <f>I137*J137/60/M137</f>
        <v/>
      </c>
      <c r="P137" s="2">
        <f>K137/J137</f>
        <v/>
      </c>
      <c r="Q137" s="2">
        <f>N137*O137*P137</f>
        <v/>
      </c>
    </row>
    <row r="138">
      <c r="A138" t="inlineStr">
        <is>
          <t>2026-07-06</t>
        </is>
      </c>
      <c r="B138" t="inlineStr">
        <is>
          <t>야간</t>
        </is>
      </c>
      <c r="C138" t="inlineStr">
        <is>
          <t>P3</t>
        </is>
      </c>
      <c r="D138" t="inlineStr">
        <is>
          <t>소결</t>
        </is>
      </c>
      <c r="E138" t="inlineStr">
        <is>
          <t>SF-01</t>
        </is>
      </c>
      <c r="F138" t="n">
        <v>480</v>
      </c>
      <c r="G138" t="n">
        <v>23</v>
      </c>
      <c r="H138" t="inlineStr">
        <is>
          <t>재가열</t>
        </is>
      </c>
      <c r="I138" t="n">
        <v>6.5</v>
      </c>
      <c r="J138" t="n">
        <v>4110</v>
      </c>
      <c r="K138" t="n">
        <v>4003</v>
      </c>
      <c r="L138" t="inlineStr">
        <is>
          <t>L-0701</t>
        </is>
      </c>
      <c r="M138">
        <f>F138-G138</f>
        <v/>
      </c>
      <c r="N138" s="2">
        <f>M138/F138</f>
        <v/>
      </c>
      <c r="O138" s="2">
        <f>I138*J138/60/M138</f>
        <v/>
      </c>
      <c r="P138" s="2">
        <f>K138/J138</f>
        <v/>
      </c>
      <c r="Q138" s="2">
        <f>N138*O138*P138</f>
        <v/>
      </c>
    </row>
    <row r="139">
      <c r="A139" t="inlineStr">
        <is>
          <t>2026-07-06</t>
        </is>
      </c>
      <c r="B139" t="inlineStr">
        <is>
          <t>야간</t>
        </is>
      </c>
      <c r="C139" t="inlineStr">
        <is>
          <t>P3</t>
        </is>
      </c>
      <c r="D139" t="inlineStr">
        <is>
          <t>소결</t>
        </is>
      </c>
      <c r="E139" t="inlineStr">
        <is>
          <t>SF-02</t>
        </is>
      </c>
      <c r="F139" t="n">
        <v>480</v>
      </c>
      <c r="G139" t="n">
        <v>44</v>
      </c>
      <c r="H139" t="inlineStr">
        <is>
          <t>장입 대기</t>
        </is>
      </c>
      <c r="I139" t="n">
        <v>6.5</v>
      </c>
      <c r="J139" t="n">
        <v>3980</v>
      </c>
      <c r="K139" t="n">
        <v>3886</v>
      </c>
      <c r="L139" t="inlineStr">
        <is>
          <t>L-0701</t>
        </is>
      </c>
      <c r="M139">
        <f>F139-G139</f>
        <v/>
      </c>
      <c r="N139" s="2">
        <f>M139/F139</f>
        <v/>
      </c>
      <c r="O139" s="2">
        <f>I139*J139/60/M139</f>
        <v/>
      </c>
      <c r="P139" s="2">
        <f>K139/J139</f>
        <v/>
      </c>
      <c r="Q139" s="2">
        <f>N139*O139*P139</f>
        <v/>
      </c>
    </row>
    <row r="140">
      <c r="A140" t="inlineStr">
        <is>
          <t>2026-07-06</t>
        </is>
      </c>
      <c r="B140" t="inlineStr">
        <is>
          <t>야간</t>
        </is>
      </c>
      <c r="C140" t="inlineStr">
        <is>
          <t>P4</t>
        </is>
      </c>
      <c r="D140" t="inlineStr">
        <is>
          <t>연삭</t>
        </is>
      </c>
      <c r="E140" t="inlineStr">
        <is>
          <t>GR-01</t>
        </is>
      </c>
      <c r="F140" t="n">
        <v>480</v>
      </c>
      <c r="G140" t="n">
        <v>59</v>
      </c>
      <c r="H140" t="inlineStr">
        <is>
          <t>드레싱</t>
        </is>
      </c>
      <c r="I140" t="n">
        <v>6.2</v>
      </c>
      <c r="J140" t="n">
        <v>3837</v>
      </c>
      <c r="K140" t="n">
        <v>3801</v>
      </c>
      <c r="L140" t="inlineStr">
        <is>
          <t>L-0701</t>
        </is>
      </c>
      <c r="M140">
        <f>F140-G140</f>
        <v/>
      </c>
      <c r="N140" s="2">
        <f>M140/F140</f>
        <v/>
      </c>
      <c r="O140" s="2">
        <f>I140*J140/60/M140</f>
        <v/>
      </c>
      <c r="P140" s="2">
        <f>K140/J140</f>
        <v/>
      </c>
      <c r="Q140" s="2">
        <f>N140*O140*P140</f>
        <v/>
      </c>
    </row>
    <row r="141">
      <c r="A141" t="inlineStr">
        <is>
          <t>2026-07-06</t>
        </is>
      </c>
      <c r="B141" t="inlineStr">
        <is>
          <t>야간</t>
        </is>
      </c>
      <c r="C141" t="inlineStr">
        <is>
          <t>P4</t>
        </is>
      </c>
      <c r="D141" t="inlineStr">
        <is>
          <t>연삭</t>
        </is>
      </c>
      <c r="E141" t="inlineStr">
        <is>
          <t>GR-02</t>
        </is>
      </c>
      <c r="F141" t="n">
        <v>480</v>
      </c>
      <c r="G141" t="n">
        <v>57</v>
      </c>
      <c r="H141" t="inlineStr">
        <is>
          <t>공구 교체</t>
        </is>
      </c>
      <c r="I141" t="n">
        <v>6.2</v>
      </c>
      <c r="J141" t="n">
        <v>3937</v>
      </c>
      <c r="K141" t="n">
        <v>3892</v>
      </c>
      <c r="L141" t="inlineStr">
        <is>
          <t>L-0701</t>
        </is>
      </c>
      <c r="M141">
        <f>F141-G141</f>
        <v/>
      </c>
      <c r="N141" s="2">
        <f>M141/F141</f>
        <v/>
      </c>
      <c r="O141" s="2">
        <f>I141*J141/60/M141</f>
        <v/>
      </c>
      <c r="P141" s="2">
        <f>K141/J141</f>
        <v/>
      </c>
      <c r="Q141" s="2">
        <f>N141*O141*P141</f>
        <v/>
      </c>
    </row>
    <row r="142">
      <c r="A142" t="inlineStr">
        <is>
          <t>2026-07-06</t>
        </is>
      </c>
      <c r="B142" t="inlineStr">
        <is>
          <t>야간</t>
        </is>
      </c>
      <c r="C142" t="inlineStr">
        <is>
          <t>P5</t>
        </is>
      </c>
      <c r="D142" t="inlineStr">
        <is>
          <t>검사</t>
        </is>
      </c>
      <c r="E142" t="inlineStr">
        <is>
          <t>IN-01</t>
        </is>
      </c>
      <c r="F142" t="n">
        <v>480</v>
      </c>
      <c r="G142" t="n">
        <v>29</v>
      </c>
      <c r="H142" t="inlineStr">
        <is>
          <t>샘플 재검</t>
        </is>
      </c>
      <c r="I142" t="n">
        <v>5.5</v>
      </c>
      <c r="J142" t="n">
        <v>4546</v>
      </c>
      <c r="K142" t="n">
        <v>4527</v>
      </c>
      <c r="L142" t="inlineStr">
        <is>
          <t>L-0701</t>
        </is>
      </c>
      <c r="M142">
        <f>F142-G142</f>
        <v/>
      </c>
      <c r="N142" s="2">
        <f>M142/F142</f>
        <v/>
      </c>
      <c r="O142" s="2">
        <f>I142*J142/60/M142</f>
        <v/>
      </c>
      <c r="P142" s="2">
        <f>K142/J142</f>
        <v/>
      </c>
      <c r="Q142" s="2">
        <f>N142*O142*P142</f>
        <v/>
      </c>
    </row>
    <row r="143">
      <c r="A143" t="inlineStr">
        <is>
          <t>2026-07-06</t>
        </is>
      </c>
      <c r="B143" t="inlineStr">
        <is>
          <t>야간</t>
        </is>
      </c>
      <c r="C143" t="inlineStr">
        <is>
          <t>P5</t>
        </is>
      </c>
      <c r="D143" t="inlineStr">
        <is>
          <t>검사</t>
        </is>
      </c>
      <c r="E143" t="inlineStr">
        <is>
          <t>IN-02</t>
        </is>
      </c>
      <c r="F143" t="n">
        <v>480</v>
      </c>
      <c r="G143" t="n">
        <v>7</v>
      </c>
      <c r="H143" t="inlineStr">
        <is>
          <t>측정기 교정</t>
        </is>
      </c>
      <c r="I143" t="n">
        <v>5.5</v>
      </c>
      <c r="J143" t="n">
        <v>4846</v>
      </c>
      <c r="K143" t="n">
        <v>4828</v>
      </c>
      <c r="L143" t="inlineStr">
        <is>
          <t>L-0701</t>
        </is>
      </c>
      <c r="M143">
        <f>F143-G143</f>
        <v/>
      </c>
      <c r="N143" s="2">
        <f>M143/F143</f>
        <v/>
      </c>
      <c r="O143" s="2">
        <f>I143*J143/60/M143</f>
        <v/>
      </c>
      <c r="P143" s="2">
        <f>K143/J143</f>
        <v/>
      </c>
      <c r="Q143" s="2">
        <f>N143*O143*P143</f>
        <v/>
      </c>
    </row>
    <row r="144">
      <c r="A144" t="inlineStr">
        <is>
          <t>2026-07-06</t>
        </is>
      </c>
      <c r="B144" t="inlineStr">
        <is>
          <t>야간</t>
        </is>
      </c>
      <c r="C144" t="inlineStr">
        <is>
          <t>P6</t>
        </is>
      </c>
      <c r="D144" t="inlineStr">
        <is>
          <t>포장</t>
        </is>
      </c>
      <c r="E144" t="inlineStr">
        <is>
          <t>PK-01</t>
        </is>
      </c>
      <c r="F144" t="n">
        <v>480</v>
      </c>
      <c r="G144" t="n">
        <v>9</v>
      </c>
      <c r="H144" t="inlineStr">
        <is>
          <t>자재 대기</t>
        </is>
      </c>
      <c r="I144" t="n">
        <v>4.8</v>
      </c>
      <c r="J144" t="n">
        <v>5741</v>
      </c>
      <c r="K144" t="n">
        <v>5724</v>
      </c>
      <c r="L144" t="inlineStr">
        <is>
          <t>L-0701</t>
        </is>
      </c>
      <c r="M144">
        <f>F144-G144</f>
        <v/>
      </c>
      <c r="N144" s="2">
        <f>M144/F144</f>
        <v/>
      </c>
      <c r="O144" s="2">
        <f>I144*J144/60/M144</f>
        <v/>
      </c>
      <c r="P144" s="2">
        <f>K144/J144</f>
        <v/>
      </c>
      <c r="Q144" s="2">
        <f>N144*O144*P144</f>
        <v/>
      </c>
    </row>
    <row r="145">
      <c r="A145" t="inlineStr">
        <is>
          <t>2026-07-06</t>
        </is>
      </c>
      <c r="B145" t="inlineStr">
        <is>
          <t>야간</t>
        </is>
      </c>
      <c r="C145" t="inlineStr">
        <is>
          <t>P6</t>
        </is>
      </c>
      <c r="D145" t="inlineStr">
        <is>
          <t>포장</t>
        </is>
      </c>
      <c r="E145" t="inlineStr">
        <is>
          <t>PK-02</t>
        </is>
      </c>
      <c r="F145" t="n">
        <v>480</v>
      </c>
      <c r="G145" t="n">
        <v>49</v>
      </c>
      <c r="H145" t="inlineStr">
        <is>
          <t>라벨 교체</t>
        </is>
      </c>
      <c r="I145" t="n">
        <v>4.8</v>
      </c>
      <c r="J145" t="n">
        <v>4938</v>
      </c>
      <c r="K145" t="n">
        <v>4925</v>
      </c>
      <c r="L145" t="inlineStr">
        <is>
          <t>L-0701</t>
        </is>
      </c>
      <c r="M145">
        <f>F145-G145</f>
        <v/>
      </c>
      <c r="N145" s="2">
        <f>M145/F145</f>
        <v/>
      </c>
      <c r="O145" s="2">
        <f>I145*J145/60/M145</f>
        <v/>
      </c>
      <c r="P145" s="2">
        <f>K145/J145</f>
        <v/>
      </c>
      <c r="Q145" s="2">
        <f>N145*O145*P145</f>
        <v/>
      </c>
    </row>
    <row r="146">
      <c r="A146" t="inlineStr">
        <is>
          <t>2026-07-07</t>
        </is>
      </c>
      <c r="B146" t="inlineStr">
        <is>
          <t>주간</t>
        </is>
      </c>
      <c r="C146" t="inlineStr">
        <is>
          <t>P1</t>
        </is>
      </c>
      <c r="D146" t="inlineStr">
        <is>
          <t>원료혼합</t>
        </is>
      </c>
      <c r="E146" t="inlineStr">
        <is>
          <t>MX-01</t>
        </is>
      </c>
      <c r="F146" t="n">
        <v>480</v>
      </c>
      <c r="G146" t="n">
        <v>47</v>
      </c>
      <c r="H146" t="inlineStr">
        <is>
          <t>배합 확인</t>
        </is>
      </c>
      <c r="I146" t="n">
        <v>5</v>
      </c>
      <c r="J146" t="n">
        <v>4799</v>
      </c>
      <c r="K146" t="n">
        <v>4766</v>
      </c>
      <c r="L146" t="inlineStr">
        <is>
          <t>L-0701</t>
        </is>
      </c>
      <c r="M146">
        <f>F146-G146</f>
        <v/>
      </c>
      <c r="N146" s="2">
        <f>M146/F146</f>
        <v/>
      </c>
      <c r="O146" s="2">
        <f>I146*J146/60/M146</f>
        <v/>
      </c>
      <c r="P146" s="2">
        <f>K146/J146</f>
        <v/>
      </c>
      <c r="Q146" s="2">
        <f>N146*O146*P146</f>
        <v/>
      </c>
    </row>
    <row r="147">
      <c r="A147" t="inlineStr">
        <is>
          <t>2026-07-07</t>
        </is>
      </c>
      <c r="B147" t="inlineStr">
        <is>
          <t>주간</t>
        </is>
      </c>
      <c r="C147" t="inlineStr">
        <is>
          <t>P1</t>
        </is>
      </c>
      <c r="D147" t="inlineStr">
        <is>
          <t>원료혼합</t>
        </is>
      </c>
      <c r="E147" t="inlineStr">
        <is>
          <t>MX-02</t>
        </is>
      </c>
      <c r="F147" t="n">
        <v>480</v>
      </c>
      <c r="G147" t="n">
        <v>4</v>
      </c>
      <c r="H147" t="inlineStr">
        <is>
          <t>청소</t>
        </is>
      </c>
      <c r="I147" t="n">
        <v>5</v>
      </c>
      <c r="J147" t="n">
        <v>5193</v>
      </c>
      <c r="K147" t="n">
        <v>5162</v>
      </c>
      <c r="L147" t="inlineStr">
        <is>
          <t>L-0701</t>
        </is>
      </c>
      <c r="M147">
        <f>F147-G147</f>
        <v/>
      </c>
      <c r="N147" s="2">
        <f>M147/F147</f>
        <v/>
      </c>
      <c r="O147" s="2">
        <f>I147*J147/60/M147</f>
        <v/>
      </c>
      <c r="P147" s="2">
        <f>K147/J147</f>
        <v/>
      </c>
      <c r="Q147" s="2">
        <f>N147*O147*P147</f>
        <v/>
      </c>
    </row>
    <row r="148">
      <c r="A148" t="inlineStr">
        <is>
          <t>2026-07-07</t>
        </is>
      </c>
      <c r="B148" t="inlineStr">
        <is>
          <t>주간</t>
        </is>
      </c>
      <c r="C148" t="inlineStr">
        <is>
          <t>P2</t>
        </is>
      </c>
      <c r="D148" t="inlineStr">
        <is>
          <t>성형</t>
        </is>
      </c>
      <c r="E148" t="inlineStr">
        <is>
          <t>PR-01</t>
        </is>
      </c>
      <c r="F148" t="n">
        <v>480</v>
      </c>
      <c r="G148" t="n">
        <v>14</v>
      </c>
      <c r="H148" t="inlineStr">
        <is>
          <t>금형 교체</t>
        </is>
      </c>
      <c r="I148" t="n">
        <v>6</v>
      </c>
      <c r="J148" t="n">
        <v>4353</v>
      </c>
      <c r="K148" t="n">
        <v>4310</v>
      </c>
      <c r="L148" t="inlineStr">
        <is>
          <t>L-0701</t>
        </is>
      </c>
      <c r="M148">
        <f>F148-G148</f>
        <v/>
      </c>
      <c r="N148" s="2">
        <f>M148/F148</f>
        <v/>
      </c>
      <c r="O148" s="2">
        <f>I148*J148/60/M148</f>
        <v/>
      </c>
      <c r="P148" s="2">
        <f>K148/J148</f>
        <v/>
      </c>
      <c r="Q148" s="2">
        <f>N148*O148*P148</f>
        <v/>
      </c>
    </row>
    <row r="149">
      <c r="A149" t="inlineStr">
        <is>
          <t>2026-07-07</t>
        </is>
      </c>
      <c r="B149" t="inlineStr">
        <is>
          <t>주간</t>
        </is>
      </c>
      <c r="C149" t="inlineStr">
        <is>
          <t>P2</t>
        </is>
      </c>
      <c r="D149" t="inlineStr">
        <is>
          <t>성형</t>
        </is>
      </c>
      <c r="E149" t="inlineStr">
        <is>
          <t>PR-02</t>
        </is>
      </c>
      <c r="F149" t="n">
        <v>480</v>
      </c>
      <c r="G149" t="n">
        <v>63</v>
      </c>
      <c r="H149" t="inlineStr">
        <is>
          <t>분말 공급 지연</t>
        </is>
      </c>
      <c r="I149" t="n">
        <v>6</v>
      </c>
      <c r="J149" t="n">
        <v>3845</v>
      </c>
      <c r="K149" t="n">
        <v>3809</v>
      </c>
      <c r="L149" t="inlineStr">
        <is>
          <t>L-0701</t>
        </is>
      </c>
      <c r="M149">
        <f>F149-G149</f>
        <v/>
      </c>
      <c r="N149" s="2">
        <f>M149/F149</f>
        <v/>
      </c>
      <c r="O149" s="2">
        <f>I149*J149/60/M149</f>
        <v/>
      </c>
      <c r="P149" s="2">
        <f>K149/J149</f>
        <v/>
      </c>
      <c r="Q149" s="2">
        <f>N149*O149*P149</f>
        <v/>
      </c>
    </row>
    <row r="150">
      <c r="A150" t="inlineStr">
        <is>
          <t>2026-07-07</t>
        </is>
      </c>
      <c r="B150" t="inlineStr">
        <is>
          <t>주간</t>
        </is>
      </c>
      <c r="C150" t="inlineStr">
        <is>
          <t>P3</t>
        </is>
      </c>
      <c r="D150" t="inlineStr">
        <is>
          <t>소결</t>
        </is>
      </c>
      <c r="E150" t="inlineStr">
        <is>
          <t>SF-01</t>
        </is>
      </c>
      <c r="F150" t="n">
        <v>480</v>
      </c>
      <c r="G150" t="n">
        <v>32</v>
      </c>
      <c r="H150" t="inlineStr">
        <is>
          <t>장입 대기</t>
        </is>
      </c>
      <c r="I150" t="n">
        <v>6.5</v>
      </c>
      <c r="J150" t="n">
        <v>3880</v>
      </c>
      <c r="K150" t="n">
        <v>3817</v>
      </c>
      <c r="L150" t="inlineStr">
        <is>
          <t>L-0701</t>
        </is>
      </c>
      <c r="M150">
        <f>F150-G150</f>
        <v/>
      </c>
      <c r="N150" s="2">
        <f>M150/F150</f>
        <v/>
      </c>
      <c r="O150" s="2">
        <f>I150*J150/60/M150</f>
        <v/>
      </c>
      <c r="P150" s="2">
        <f>K150/J150</f>
        <v/>
      </c>
      <c r="Q150" s="2">
        <f>N150*O150*P150</f>
        <v/>
      </c>
    </row>
    <row r="151">
      <c r="A151" t="inlineStr">
        <is>
          <t>2026-07-07</t>
        </is>
      </c>
      <c r="B151" t="inlineStr">
        <is>
          <t>주간</t>
        </is>
      </c>
      <c r="C151" t="inlineStr">
        <is>
          <t>P3</t>
        </is>
      </c>
      <c r="D151" t="inlineStr">
        <is>
          <t>소결</t>
        </is>
      </c>
      <c r="E151" t="inlineStr">
        <is>
          <t>SF-02</t>
        </is>
      </c>
      <c r="F151" t="n">
        <v>480</v>
      </c>
      <c r="G151" t="n">
        <v>15</v>
      </c>
      <c r="H151" t="inlineStr">
        <is>
          <t>승온 대기</t>
        </is>
      </c>
      <c r="I151" t="n">
        <v>6.5</v>
      </c>
      <c r="J151" t="n">
        <v>3953</v>
      </c>
      <c r="K151" t="n">
        <v>3873</v>
      </c>
      <c r="L151" t="inlineStr">
        <is>
          <t>L-0701</t>
        </is>
      </c>
      <c r="M151">
        <f>F151-G151</f>
        <v/>
      </c>
      <c r="N151" s="2">
        <f>M151/F151</f>
        <v/>
      </c>
      <c r="O151" s="2">
        <f>I151*J151/60/M151</f>
        <v/>
      </c>
      <c r="P151" s="2">
        <f>K151/J151</f>
        <v/>
      </c>
      <c r="Q151" s="2">
        <f>N151*O151*P151</f>
        <v/>
      </c>
    </row>
    <row r="152">
      <c r="A152" t="inlineStr">
        <is>
          <t>2026-07-07</t>
        </is>
      </c>
      <c r="B152" t="inlineStr">
        <is>
          <t>주간</t>
        </is>
      </c>
      <c r="C152" t="inlineStr">
        <is>
          <t>P4</t>
        </is>
      </c>
      <c r="D152" t="inlineStr">
        <is>
          <t>연삭</t>
        </is>
      </c>
      <c r="E152" t="inlineStr">
        <is>
          <t>GR-01</t>
        </is>
      </c>
      <c r="F152" t="n">
        <v>480</v>
      </c>
      <c r="G152" t="n">
        <v>79</v>
      </c>
      <c r="H152" t="inlineStr">
        <is>
          <t>드레싱</t>
        </is>
      </c>
      <c r="I152" t="n">
        <v>6.2</v>
      </c>
      <c r="J152" t="n">
        <v>3743</v>
      </c>
      <c r="K152" t="n">
        <v>3702</v>
      </c>
      <c r="L152" t="inlineStr">
        <is>
          <t>L-0701</t>
        </is>
      </c>
      <c r="M152">
        <f>F152-G152</f>
        <v/>
      </c>
      <c r="N152" s="2">
        <f>M152/F152</f>
        <v/>
      </c>
      <c r="O152" s="2">
        <f>I152*J152/60/M152</f>
        <v/>
      </c>
      <c r="P152" s="2">
        <f>K152/J152</f>
        <v/>
      </c>
      <c r="Q152" s="2">
        <f>N152*O152*P152</f>
        <v/>
      </c>
    </row>
    <row r="153">
      <c r="A153" t="inlineStr">
        <is>
          <t>2026-07-07</t>
        </is>
      </c>
      <c r="B153" t="inlineStr">
        <is>
          <t>주간</t>
        </is>
      </c>
      <c r="C153" t="inlineStr">
        <is>
          <t>P4</t>
        </is>
      </c>
      <c r="D153" t="inlineStr">
        <is>
          <t>연삭</t>
        </is>
      </c>
      <c r="E153" t="inlineStr">
        <is>
          <t>GR-02</t>
        </is>
      </c>
      <c r="F153" t="n">
        <v>480</v>
      </c>
      <c r="G153" t="n">
        <v>86</v>
      </c>
      <c r="H153" t="inlineStr">
        <is>
          <t>공구 교체</t>
        </is>
      </c>
      <c r="I153" t="n">
        <v>6.2</v>
      </c>
      <c r="J153" t="n">
        <v>3519</v>
      </c>
      <c r="K153" t="n">
        <v>3486</v>
      </c>
      <c r="L153" t="inlineStr">
        <is>
          <t>L-0701</t>
        </is>
      </c>
      <c r="M153">
        <f>F153-G153</f>
        <v/>
      </c>
      <c r="N153" s="2">
        <f>M153/F153</f>
        <v/>
      </c>
      <c r="O153" s="2">
        <f>I153*J153/60/M153</f>
        <v/>
      </c>
      <c r="P153" s="2">
        <f>K153/J153</f>
        <v/>
      </c>
      <c r="Q153" s="2">
        <f>N153*O153*P153</f>
        <v/>
      </c>
    </row>
    <row r="154">
      <c r="A154" t="inlineStr">
        <is>
          <t>2026-07-07</t>
        </is>
      </c>
      <c r="B154" t="inlineStr">
        <is>
          <t>주간</t>
        </is>
      </c>
      <c r="C154" t="inlineStr">
        <is>
          <t>P5</t>
        </is>
      </c>
      <c r="D154" t="inlineStr">
        <is>
          <t>검사</t>
        </is>
      </c>
      <c r="E154" t="inlineStr">
        <is>
          <t>IN-01</t>
        </is>
      </c>
      <c r="F154" t="n">
        <v>480</v>
      </c>
      <c r="G154" t="n">
        <v>44</v>
      </c>
      <c r="H154" t="inlineStr">
        <is>
          <t>측정기 교정</t>
        </is>
      </c>
      <c r="I154" t="n">
        <v>5.5</v>
      </c>
      <c r="J154" t="n">
        <v>4620</v>
      </c>
      <c r="K154" t="n">
        <v>4604</v>
      </c>
      <c r="L154" t="inlineStr">
        <is>
          <t>L-0701</t>
        </is>
      </c>
      <c r="M154">
        <f>F154-G154</f>
        <v/>
      </c>
      <c r="N154" s="2">
        <f>M154/F154</f>
        <v/>
      </c>
      <c r="O154" s="2">
        <f>I154*J154/60/M154</f>
        <v/>
      </c>
      <c r="P154" s="2">
        <f>K154/J154</f>
        <v/>
      </c>
      <c r="Q154" s="2">
        <f>N154*O154*P154</f>
        <v/>
      </c>
    </row>
    <row r="155">
      <c r="A155" t="inlineStr">
        <is>
          <t>2026-07-07</t>
        </is>
      </c>
      <c r="B155" t="inlineStr">
        <is>
          <t>주간</t>
        </is>
      </c>
      <c r="C155" t="inlineStr">
        <is>
          <t>P5</t>
        </is>
      </c>
      <c r="D155" t="inlineStr">
        <is>
          <t>검사</t>
        </is>
      </c>
      <c r="E155" t="inlineStr">
        <is>
          <t>IN-02</t>
        </is>
      </c>
      <c r="F155" t="n">
        <v>480</v>
      </c>
      <c r="G155" t="n">
        <v>11</v>
      </c>
      <c r="H155" t="inlineStr">
        <is>
          <t>측정기 교정</t>
        </is>
      </c>
      <c r="I155" t="n">
        <v>5.5</v>
      </c>
      <c r="J155" t="n">
        <v>4722</v>
      </c>
      <c r="K155" t="n">
        <v>4707</v>
      </c>
      <c r="L155" t="inlineStr">
        <is>
          <t>L-0701</t>
        </is>
      </c>
      <c r="M155">
        <f>F155-G155</f>
        <v/>
      </c>
      <c r="N155" s="2">
        <f>M155/F155</f>
        <v/>
      </c>
      <c r="O155" s="2">
        <f>I155*J155/60/M155</f>
        <v/>
      </c>
      <c r="P155" s="2">
        <f>K155/J155</f>
        <v/>
      </c>
      <c r="Q155" s="2">
        <f>N155*O155*P155</f>
        <v/>
      </c>
    </row>
    <row r="156">
      <c r="A156" t="inlineStr">
        <is>
          <t>2026-07-07</t>
        </is>
      </c>
      <c r="B156" t="inlineStr">
        <is>
          <t>주간</t>
        </is>
      </c>
      <c r="C156" t="inlineStr">
        <is>
          <t>P6</t>
        </is>
      </c>
      <c r="D156" t="inlineStr">
        <is>
          <t>포장</t>
        </is>
      </c>
      <c r="E156" t="inlineStr">
        <is>
          <t>PK-01</t>
        </is>
      </c>
      <c r="F156" t="n">
        <v>480</v>
      </c>
      <c r="G156" t="n">
        <v>19</v>
      </c>
      <c r="H156" t="inlineStr">
        <is>
          <t>자재 대기</t>
        </is>
      </c>
      <c r="I156" t="n">
        <v>4.8</v>
      </c>
      <c r="J156" t="n">
        <v>5357</v>
      </c>
      <c r="K156" t="n">
        <v>5347</v>
      </c>
      <c r="L156" t="inlineStr">
        <is>
          <t>L-0701</t>
        </is>
      </c>
      <c r="M156">
        <f>F156-G156</f>
        <v/>
      </c>
      <c r="N156" s="2">
        <f>M156/F156</f>
        <v/>
      </c>
      <c r="O156" s="2">
        <f>I156*J156/60/M156</f>
        <v/>
      </c>
      <c r="P156" s="2">
        <f>K156/J156</f>
        <v/>
      </c>
      <c r="Q156" s="2">
        <f>N156*O156*P156</f>
        <v/>
      </c>
    </row>
    <row r="157">
      <c r="A157" t="inlineStr">
        <is>
          <t>2026-07-07</t>
        </is>
      </c>
      <c r="B157" t="inlineStr">
        <is>
          <t>주간</t>
        </is>
      </c>
      <c r="C157" t="inlineStr">
        <is>
          <t>P6</t>
        </is>
      </c>
      <c r="D157" t="inlineStr">
        <is>
          <t>포장</t>
        </is>
      </c>
      <c r="E157" t="inlineStr">
        <is>
          <t>PK-02</t>
        </is>
      </c>
      <c r="F157" t="n">
        <v>480</v>
      </c>
      <c r="G157" t="n">
        <v>4</v>
      </c>
      <c r="H157" t="inlineStr">
        <is>
          <t>자재 대기</t>
        </is>
      </c>
      <c r="I157" t="n">
        <v>4.8</v>
      </c>
      <c r="J157" t="n">
        <v>5539</v>
      </c>
      <c r="K157" t="n">
        <v>5527</v>
      </c>
      <c r="L157" t="inlineStr">
        <is>
          <t>L-0701</t>
        </is>
      </c>
      <c r="M157">
        <f>F157-G157</f>
        <v/>
      </c>
      <c r="N157" s="2">
        <f>M157/F157</f>
        <v/>
      </c>
      <c r="O157" s="2">
        <f>I157*J157/60/M157</f>
        <v/>
      </c>
      <c r="P157" s="2">
        <f>K157/J157</f>
        <v/>
      </c>
      <c r="Q157" s="2">
        <f>N157*O157*P157</f>
        <v/>
      </c>
    </row>
    <row r="158">
      <c r="A158" t="inlineStr">
        <is>
          <t>2026-07-07</t>
        </is>
      </c>
      <c r="B158" t="inlineStr">
        <is>
          <t>야간</t>
        </is>
      </c>
      <c r="C158" t="inlineStr">
        <is>
          <t>P1</t>
        </is>
      </c>
      <c r="D158" t="inlineStr">
        <is>
          <t>원료혼합</t>
        </is>
      </c>
      <c r="E158" t="inlineStr">
        <is>
          <t>MX-01</t>
        </is>
      </c>
      <c r="F158" t="n">
        <v>480</v>
      </c>
      <c r="G158" t="n">
        <v>3</v>
      </c>
      <c r="H158" t="inlineStr">
        <is>
          <t>청소</t>
        </is>
      </c>
      <c r="I158" t="n">
        <v>5</v>
      </c>
      <c r="J158" t="n">
        <v>5351</v>
      </c>
      <c r="K158" t="n">
        <v>5309</v>
      </c>
      <c r="L158" t="inlineStr">
        <is>
          <t>L-0701</t>
        </is>
      </c>
      <c r="M158">
        <f>F158-G158</f>
        <v/>
      </c>
      <c r="N158" s="2">
        <f>M158/F158</f>
        <v/>
      </c>
      <c r="O158" s="2">
        <f>I158*J158/60/M158</f>
        <v/>
      </c>
      <c r="P158" s="2">
        <f>K158/J158</f>
        <v/>
      </c>
      <c r="Q158" s="2">
        <f>N158*O158*P158</f>
        <v/>
      </c>
    </row>
    <row r="159">
      <c r="A159" t="inlineStr">
        <is>
          <t>2026-07-07</t>
        </is>
      </c>
      <c r="B159" t="inlineStr">
        <is>
          <t>야간</t>
        </is>
      </c>
      <c r="C159" t="inlineStr">
        <is>
          <t>P1</t>
        </is>
      </c>
      <c r="D159" t="inlineStr">
        <is>
          <t>원료혼합</t>
        </is>
      </c>
      <c r="E159" t="inlineStr">
        <is>
          <t>MX-02</t>
        </is>
      </c>
      <c r="F159" t="n">
        <v>480</v>
      </c>
      <c r="G159" t="n">
        <v>6</v>
      </c>
      <c r="H159" t="inlineStr">
        <is>
          <t>배합 확인</t>
        </is>
      </c>
      <c r="I159" t="n">
        <v>5</v>
      </c>
      <c r="J159" t="n">
        <v>5424</v>
      </c>
      <c r="K159" t="n">
        <v>5380</v>
      </c>
      <c r="L159" t="inlineStr">
        <is>
          <t>L-0701</t>
        </is>
      </c>
      <c r="M159">
        <f>F159-G159</f>
        <v/>
      </c>
      <c r="N159" s="2">
        <f>M159/F159</f>
        <v/>
      </c>
      <c r="O159" s="2">
        <f>I159*J159/60/M159</f>
        <v/>
      </c>
      <c r="P159" s="2">
        <f>K159/J159</f>
        <v/>
      </c>
      <c r="Q159" s="2">
        <f>N159*O159*P159</f>
        <v/>
      </c>
    </row>
    <row r="160">
      <c r="A160" t="inlineStr">
        <is>
          <t>2026-07-07</t>
        </is>
      </c>
      <c r="B160" t="inlineStr">
        <is>
          <t>야간</t>
        </is>
      </c>
      <c r="C160" t="inlineStr">
        <is>
          <t>P2</t>
        </is>
      </c>
      <c r="D160" t="inlineStr">
        <is>
          <t>성형</t>
        </is>
      </c>
      <c r="E160" t="inlineStr">
        <is>
          <t>PR-01</t>
        </is>
      </c>
      <c r="F160" t="n">
        <v>480</v>
      </c>
      <c r="G160" t="n">
        <v>7</v>
      </c>
      <c r="H160" t="inlineStr">
        <is>
          <t>금형 교체</t>
        </is>
      </c>
      <c r="I160" t="n">
        <v>6</v>
      </c>
      <c r="J160" t="n">
        <v>4264</v>
      </c>
      <c r="K160" t="n">
        <v>4225</v>
      </c>
      <c r="L160" t="inlineStr">
        <is>
          <t>L-0701</t>
        </is>
      </c>
      <c r="M160">
        <f>F160-G160</f>
        <v/>
      </c>
      <c r="N160" s="2">
        <f>M160/F160</f>
        <v/>
      </c>
      <c r="O160" s="2">
        <f>I160*J160/60/M160</f>
        <v/>
      </c>
      <c r="P160" s="2">
        <f>K160/J160</f>
        <v/>
      </c>
      <c r="Q160" s="2">
        <f>N160*O160*P160</f>
        <v/>
      </c>
    </row>
    <row r="161">
      <c r="A161" t="inlineStr">
        <is>
          <t>2026-07-07</t>
        </is>
      </c>
      <c r="B161" t="inlineStr">
        <is>
          <t>야간</t>
        </is>
      </c>
      <c r="C161" t="inlineStr">
        <is>
          <t>P2</t>
        </is>
      </c>
      <c r="D161" t="inlineStr">
        <is>
          <t>성형</t>
        </is>
      </c>
      <c r="E161" t="inlineStr">
        <is>
          <t>PR-02</t>
        </is>
      </c>
      <c r="F161" t="n">
        <v>480</v>
      </c>
      <c r="G161" t="n">
        <v>28</v>
      </c>
      <c r="H161" t="inlineStr">
        <is>
          <t>분말 공급 지연</t>
        </is>
      </c>
      <c r="I161" t="n">
        <v>6</v>
      </c>
      <c r="J161" t="n">
        <v>4222</v>
      </c>
      <c r="K161" t="n">
        <v>4184</v>
      </c>
      <c r="L161" t="inlineStr">
        <is>
          <t>L-0701</t>
        </is>
      </c>
      <c r="M161">
        <f>F161-G161</f>
        <v/>
      </c>
      <c r="N161" s="2">
        <f>M161/F161</f>
        <v/>
      </c>
      <c r="O161" s="2">
        <f>I161*J161/60/M161</f>
        <v/>
      </c>
      <c r="P161" s="2">
        <f>K161/J161</f>
        <v/>
      </c>
      <c r="Q161" s="2">
        <f>N161*O161*P161</f>
        <v/>
      </c>
    </row>
    <row r="162">
      <c r="A162" t="inlineStr">
        <is>
          <t>2026-07-07</t>
        </is>
      </c>
      <c r="B162" t="inlineStr">
        <is>
          <t>야간</t>
        </is>
      </c>
      <c r="C162" t="inlineStr">
        <is>
          <t>P3</t>
        </is>
      </c>
      <c r="D162" t="inlineStr">
        <is>
          <t>소결</t>
        </is>
      </c>
      <c r="E162" t="inlineStr">
        <is>
          <t>SF-01</t>
        </is>
      </c>
      <c r="F162" t="n">
        <v>480</v>
      </c>
      <c r="G162" t="n">
        <v>45</v>
      </c>
      <c r="H162" t="inlineStr">
        <is>
          <t>장입 대기</t>
        </is>
      </c>
      <c r="I162" t="n">
        <v>6.5</v>
      </c>
      <c r="J162" t="n">
        <v>3667</v>
      </c>
      <c r="K162" t="n">
        <v>3590</v>
      </c>
      <c r="L162" t="inlineStr">
        <is>
          <t>L-0701</t>
        </is>
      </c>
      <c r="M162">
        <f>F162-G162</f>
        <v/>
      </c>
      <c r="N162" s="2">
        <f>M162/F162</f>
        <v/>
      </c>
      <c r="O162" s="2">
        <f>I162*J162/60/M162</f>
        <v/>
      </c>
      <c r="P162" s="2">
        <f>K162/J162</f>
        <v/>
      </c>
      <c r="Q162" s="2">
        <f>N162*O162*P162</f>
        <v/>
      </c>
    </row>
    <row r="163">
      <c r="A163" t="inlineStr">
        <is>
          <t>2026-07-07</t>
        </is>
      </c>
      <c r="B163" t="inlineStr">
        <is>
          <t>야간</t>
        </is>
      </c>
      <c r="C163" t="inlineStr">
        <is>
          <t>P3</t>
        </is>
      </c>
      <c r="D163" t="inlineStr">
        <is>
          <t>소결</t>
        </is>
      </c>
      <c r="E163" t="inlineStr">
        <is>
          <t>SF-02</t>
        </is>
      </c>
      <c r="F163" t="n">
        <v>480</v>
      </c>
      <c r="G163" t="n">
        <v>29</v>
      </c>
      <c r="H163" t="inlineStr">
        <is>
          <t>재가열</t>
        </is>
      </c>
      <c r="I163" t="n">
        <v>6.5</v>
      </c>
      <c r="J163" t="n">
        <v>3885</v>
      </c>
      <c r="K163" t="n">
        <v>3785</v>
      </c>
      <c r="L163" t="inlineStr">
        <is>
          <t>L-0701</t>
        </is>
      </c>
      <c r="M163">
        <f>F163-G163</f>
        <v/>
      </c>
      <c r="N163" s="2">
        <f>M163/F163</f>
        <v/>
      </c>
      <c r="O163" s="2">
        <f>I163*J163/60/M163</f>
        <v/>
      </c>
      <c r="P163" s="2">
        <f>K163/J163</f>
        <v/>
      </c>
      <c r="Q163" s="2">
        <f>N163*O163*P163</f>
        <v/>
      </c>
    </row>
    <row r="164">
      <c r="A164" t="inlineStr">
        <is>
          <t>2026-07-07</t>
        </is>
      </c>
      <c r="B164" t="inlineStr">
        <is>
          <t>야간</t>
        </is>
      </c>
      <c r="C164" t="inlineStr">
        <is>
          <t>P4</t>
        </is>
      </c>
      <c r="D164" t="inlineStr">
        <is>
          <t>연삭</t>
        </is>
      </c>
      <c r="E164" t="inlineStr">
        <is>
          <t>GR-01</t>
        </is>
      </c>
      <c r="F164" t="n">
        <v>480</v>
      </c>
      <c r="G164" t="n">
        <v>134</v>
      </c>
      <c r="H164" t="inlineStr">
        <is>
          <t>공구 교체</t>
        </is>
      </c>
      <c r="I164" t="n">
        <v>6.2</v>
      </c>
      <c r="J164" t="n">
        <v>3169</v>
      </c>
      <c r="K164" t="n">
        <v>3141</v>
      </c>
      <c r="L164" t="inlineStr">
        <is>
          <t>L-0701</t>
        </is>
      </c>
      <c r="M164">
        <f>F164-G164</f>
        <v/>
      </c>
      <c r="N164" s="2">
        <f>M164/F164</f>
        <v/>
      </c>
      <c r="O164" s="2">
        <f>I164*J164/60/M164</f>
        <v/>
      </c>
      <c r="P164" s="2">
        <f>K164/J164</f>
        <v/>
      </c>
      <c r="Q164" s="2">
        <f>N164*O164*P164</f>
        <v/>
      </c>
    </row>
    <row r="165">
      <c r="A165" t="inlineStr">
        <is>
          <t>2026-07-07</t>
        </is>
      </c>
      <c r="B165" t="inlineStr">
        <is>
          <t>야간</t>
        </is>
      </c>
      <c r="C165" t="inlineStr">
        <is>
          <t>P4</t>
        </is>
      </c>
      <c r="D165" t="inlineStr">
        <is>
          <t>연삭</t>
        </is>
      </c>
      <c r="E165" t="inlineStr">
        <is>
          <t>GR-02</t>
        </is>
      </c>
      <c r="F165" t="n">
        <v>480</v>
      </c>
      <c r="G165" t="n">
        <v>41</v>
      </c>
      <c r="H165" t="inlineStr">
        <is>
          <t>드레싱</t>
        </is>
      </c>
      <c r="I165" t="n">
        <v>6.2</v>
      </c>
      <c r="J165" t="n">
        <v>3925</v>
      </c>
      <c r="K165" t="n">
        <v>3875</v>
      </c>
      <c r="L165" t="inlineStr">
        <is>
          <t>L-0701</t>
        </is>
      </c>
      <c r="M165">
        <f>F165-G165</f>
        <v/>
      </c>
      <c r="N165" s="2">
        <f>M165/F165</f>
        <v/>
      </c>
      <c r="O165" s="2">
        <f>I165*J165/60/M165</f>
        <v/>
      </c>
      <c r="P165" s="2">
        <f>K165/J165</f>
        <v/>
      </c>
      <c r="Q165" s="2">
        <f>N165*O165*P165</f>
        <v/>
      </c>
    </row>
    <row r="166">
      <c r="A166" t="inlineStr">
        <is>
          <t>2026-07-07</t>
        </is>
      </c>
      <c r="B166" t="inlineStr">
        <is>
          <t>야간</t>
        </is>
      </c>
      <c r="C166" t="inlineStr">
        <is>
          <t>P5</t>
        </is>
      </c>
      <c r="D166" t="inlineStr">
        <is>
          <t>검사</t>
        </is>
      </c>
      <c r="E166" t="inlineStr">
        <is>
          <t>IN-01</t>
        </is>
      </c>
      <c r="F166" t="n">
        <v>480</v>
      </c>
      <c r="G166" t="n">
        <v>64</v>
      </c>
      <c r="H166" t="inlineStr">
        <is>
          <t>샘플 재검</t>
        </is>
      </c>
      <c r="I166" t="n">
        <v>5.5</v>
      </c>
      <c r="J166" t="n">
        <v>4241</v>
      </c>
      <c r="K166" t="n">
        <v>4224</v>
      </c>
      <c r="L166" t="inlineStr">
        <is>
          <t>L-0701</t>
        </is>
      </c>
      <c r="M166">
        <f>F166-G166</f>
        <v/>
      </c>
      <c r="N166" s="2">
        <f>M166/F166</f>
        <v/>
      </c>
      <c r="O166" s="2">
        <f>I166*J166/60/M166</f>
        <v/>
      </c>
      <c r="P166" s="2">
        <f>K166/J166</f>
        <v/>
      </c>
      <c r="Q166" s="2">
        <f>N166*O166*P166</f>
        <v/>
      </c>
    </row>
    <row r="167">
      <c r="A167" t="inlineStr">
        <is>
          <t>2026-07-07</t>
        </is>
      </c>
      <c r="B167" t="inlineStr">
        <is>
          <t>야간</t>
        </is>
      </c>
      <c r="C167" t="inlineStr">
        <is>
          <t>P5</t>
        </is>
      </c>
      <c r="D167" t="inlineStr">
        <is>
          <t>검사</t>
        </is>
      </c>
      <c r="E167" t="inlineStr">
        <is>
          <t>IN-02</t>
        </is>
      </c>
      <c r="F167" t="n">
        <v>480</v>
      </c>
      <c r="G167" t="n">
        <v>79</v>
      </c>
      <c r="H167" t="inlineStr">
        <is>
          <t>샘플 재검</t>
        </is>
      </c>
      <c r="I167" t="n">
        <v>5.5</v>
      </c>
      <c r="J167" t="n">
        <v>3988</v>
      </c>
      <c r="K167" t="n">
        <v>3974</v>
      </c>
      <c r="L167" t="inlineStr">
        <is>
          <t>L-0701</t>
        </is>
      </c>
      <c r="M167">
        <f>F167-G167</f>
        <v/>
      </c>
      <c r="N167" s="2">
        <f>M167/F167</f>
        <v/>
      </c>
      <c r="O167" s="2">
        <f>I167*J167/60/M167</f>
        <v/>
      </c>
      <c r="P167" s="2">
        <f>K167/J167</f>
        <v/>
      </c>
      <c r="Q167" s="2">
        <f>N167*O167*P167</f>
        <v/>
      </c>
    </row>
    <row r="168">
      <c r="A168" t="inlineStr">
        <is>
          <t>2026-07-07</t>
        </is>
      </c>
      <c r="B168" t="inlineStr">
        <is>
          <t>야간</t>
        </is>
      </c>
      <c r="C168" t="inlineStr">
        <is>
          <t>P6</t>
        </is>
      </c>
      <c r="D168" t="inlineStr">
        <is>
          <t>포장</t>
        </is>
      </c>
      <c r="E168" t="inlineStr">
        <is>
          <t>PK-01</t>
        </is>
      </c>
      <c r="F168" t="n">
        <v>480</v>
      </c>
      <c r="G168" t="n">
        <v>72</v>
      </c>
      <c r="H168" t="inlineStr">
        <is>
          <t>라벨 교체</t>
        </is>
      </c>
      <c r="I168" t="n">
        <v>4.8</v>
      </c>
      <c r="J168" t="n">
        <v>5017</v>
      </c>
      <c r="K168" t="n">
        <v>5001</v>
      </c>
      <c r="L168" t="inlineStr">
        <is>
          <t>L-0701</t>
        </is>
      </c>
      <c r="M168">
        <f>F168-G168</f>
        <v/>
      </c>
      <c r="N168" s="2">
        <f>M168/F168</f>
        <v/>
      </c>
      <c r="O168" s="2">
        <f>I168*J168/60/M168</f>
        <v/>
      </c>
      <c r="P168" s="2">
        <f>K168/J168</f>
        <v/>
      </c>
      <c r="Q168" s="2">
        <f>N168*O168*P168</f>
        <v/>
      </c>
    </row>
    <row r="169">
      <c r="A169" t="inlineStr">
        <is>
          <t>2026-07-07</t>
        </is>
      </c>
      <c r="B169" t="inlineStr">
        <is>
          <t>야간</t>
        </is>
      </c>
      <c r="C169" t="inlineStr">
        <is>
          <t>P6</t>
        </is>
      </c>
      <c r="D169" t="inlineStr">
        <is>
          <t>포장</t>
        </is>
      </c>
      <c r="E169" t="inlineStr">
        <is>
          <t>PK-02</t>
        </is>
      </c>
      <c r="F169" t="n">
        <v>480</v>
      </c>
      <c r="G169" t="n">
        <v>73</v>
      </c>
      <c r="H169" t="inlineStr">
        <is>
          <t>자재 대기</t>
        </is>
      </c>
      <c r="I169" t="n">
        <v>4.8</v>
      </c>
      <c r="J169" t="n">
        <v>4784</v>
      </c>
      <c r="K169" t="n">
        <v>4769</v>
      </c>
      <c r="L169" t="inlineStr">
        <is>
          <t>L-0701</t>
        </is>
      </c>
      <c r="M169">
        <f>F169-G169</f>
        <v/>
      </c>
      <c r="N169" s="2">
        <f>M169/F169</f>
        <v/>
      </c>
      <c r="O169" s="2">
        <f>I169*J169/60/M169</f>
        <v/>
      </c>
      <c r="P169" s="2">
        <f>K169/J169</f>
        <v/>
      </c>
      <c r="Q169" s="2">
        <f>N169*O169*P169</f>
        <v/>
      </c>
    </row>
    <row r="170">
      <c r="A170" t="inlineStr">
        <is>
          <t>2026-07-08</t>
        </is>
      </c>
      <c r="B170" t="inlineStr">
        <is>
          <t>주간</t>
        </is>
      </c>
      <c r="C170" t="inlineStr">
        <is>
          <t>P1</t>
        </is>
      </c>
      <c r="D170" t="inlineStr">
        <is>
          <t>원료혼합</t>
        </is>
      </c>
      <c r="E170" t="inlineStr">
        <is>
          <t>MX-01</t>
        </is>
      </c>
      <c r="F170" t="n">
        <v>480</v>
      </c>
      <c r="G170" t="n">
        <v>16</v>
      </c>
      <c r="H170" t="inlineStr">
        <is>
          <t>청소</t>
        </is>
      </c>
      <c r="I170" t="n">
        <v>5</v>
      </c>
      <c r="J170" t="n">
        <v>5181</v>
      </c>
      <c r="K170" t="n">
        <v>5138</v>
      </c>
      <c r="L170" t="inlineStr">
        <is>
          <t>L-0701</t>
        </is>
      </c>
      <c r="M170">
        <f>F170-G170</f>
        <v/>
      </c>
      <c r="N170" s="2">
        <f>M170/F170</f>
        <v/>
      </c>
      <c r="O170" s="2">
        <f>I170*J170/60/M170</f>
        <v/>
      </c>
      <c r="P170" s="2">
        <f>K170/J170</f>
        <v/>
      </c>
      <c r="Q170" s="2">
        <f>N170*O170*P170</f>
        <v/>
      </c>
    </row>
    <row r="171">
      <c r="A171" t="inlineStr">
        <is>
          <t>2026-07-08</t>
        </is>
      </c>
      <c r="B171" t="inlineStr">
        <is>
          <t>주간</t>
        </is>
      </c>
      <c r="C171" t="inlineStr">
        <is>
          <t>P1</t>
        </is>
      </c>
      <c r="D171" t="inlineStr">
        <is>
          <t>원료혼합</t>
        </is>
      </c>
      <c r="E171" t="inlineStr">
        <is>
          <t>MX-02</t>
        </is>
      </c>
      <c r="F171" t="n">
        <v>480</v>
      </c>
      <c r="G171" t="n">
        <v>13</v>
      </c>
      <c r="H171" t="inlineStr">
        <is>
          <t>배합 확인</t>
        </is>
      </c>
      <c r="I171" t="n">
        <v>5</v>
      </c>
      <c r="J171" t="n">
        <v>5341</v>
      </c>
      <c r="K171" t="n">
        <v>5318</v>
      </c>
      <c r="L171" t="inlineStr">
        <is>
          <t>L-0701</t>
        </is>
      </c>
      <c r="M171">
        <f>F171-G171</f>
        <v/>
      </c>
      <c r="N171" s="2">
        <f>M171/F171</f>
        <v/>
      </c>
      <c r="O171" s="2">
        <f>I171*J171/60/M171</f>
        <v/>
      </c>
      <c r="P171" s="2">
        <f>K171/J171</f>
        <v/>
      </c>
      <c r="Q171" s="2">
        <f>N171*O171*P171</f>
        <v/>
      </c>
    </row>
    <row r="172">
      <c r="A172" t="inlineStr">
        <is>
          <t>2026-07-08</t>
        </is>
      </c>
      <c r="B172" t="inlineStr">
        <is>
          <t>주간</t>
        </is>
      </c>
      <c r="C172" t="inlineStr">
        <is>
          <t>P2</t>
        </is>
      </c>
      <c r="D172" t="inlineStr">
        <is>
          <t>성형</t>
        </is>
      </c>
      <c r="E172" t="inlineStr">
        <is>
          <t>PR-01</t>
        </is>
      </c>
      <c r="F172" t="n">
        <v>480</v>
      </c>
      <c r="G172" t="n">
        <v>6</v>
      </c>
      <c r="H172" t="inlineStr">
        <is>
          <t>분말 공급 지연</t>
        </is>
      </c>
      <c r="I172" t="n">
        <v>6</v>
      </c>
      <c r="J172" t="n">
        <v>4621</v>
      </c>
      <c r="K172" t="n">
        <v>4552</v>
      </c>
      <c r="L172" t="inlineStr">
        <is>
          <t>L-0701</t>
        </is>
      </c>
      <c r="M172">
        <f>F172-G172</f>
        <v/>
      </c>
      <c r="N172" s="2">
        <f>M172/F172</f>
        <v/>
      </c>
      <c r="O172" s="2">
        <f>I172*J172/60/M172</f>
        <v/>
      </c>
      <c r="P172" s="2">
        <f>K172/J172</f>
        <v/>
      </c>
      <c r="Q172" s="2">
        <f>N172*O172*P172</f>
        <v/>
      </c>
    </row>
    <row r="173">
      <c r="A173" t="inlineStr">
        <is>
          <t>2026-07-08</t>
        </is>
      </c>
      <c r="B173" t="inlineStr">
        <is>
          <t>주간</t>
        </is>
      </c>
      <c r="C173" t="inlineStr">
        <is>
          <t>P2</t>
        </is>
      </c>
      <c r="D173" t="inlineStr">
        <is>
          <t>성형</t>
        </is>
      </c>
      <c r="E173" t="inlineStr">
        <is>
          <t>PR-02</t>
        </is>
      </c>
      <c r="F173" t="n">
        <v>480</v>
      </c>
      <c r="G173" t="n">
        <v>9</v>
      </c>
      <c r="H173" t="inlineStr">
        <is>
          <t>금형 교체</t>
        </is>
      </c>
      <c r="I173" t="n">
        <v>6</v>
      </c>
      <c r="J173" t="n">
        <v>4310</v>
      </c>
      <c r="K173" t="n">
        <v>4253</v>
      </c>
      <c r="L173" t="inlineStr">
        <is>
          <t>L-0701</t>
        </is>
      </c>
      <c r="M173">
        <f>F173-G173</f>
        <v/>
      </c>
      <c r="N173" s="2">
        <f>M173/F173</f>
        <v/>
      </c>
      <c r="O173" s="2">
        <f>I173*J173/60/M173</f>
        <v/>
      </c>
      <c r="P173" s="2">
        <f>K173/J173</f>
        <v/>
      </c>
      <c r="Q173" s="2">
        <f>N173*O173*P173</f>
        <v/>
      </c>
    </row>
    <row r="174">
      <c r="A174" t="inlineStr">
        <is>
          <t>2026-07-08</t>
        </is>
      </c>
      <c r="B174" t="inlineStr">
        <is>
          <t>주간</t>
        </is>
      </c>
      <c r="C174" t="inlineStr">
        <is>
          <t>P3</t>
        </is>
      </c>
      <c r="D174" t="inlineStr">
        <is>
          <t>소결</t>
        </is>
      </c>
      <c r="E174" t="inlineStr">
        <is>
          <t>SF-01</t>
        </is>
      </c>
      <c r="F174" t="n">
        <v>480</v>
      </c>
      <c r="G174" t="n">
        <v>25</v>
      </c>
      <c r="H174" t="inlineStr">
        <is>
          <t>재가열</t>
        </is>
      </c>
      <c r="I174" t="n">
        <v>6.5</v>
      </c>
      <c r="J174" t="n">
        <v>4042</v>
      </c>
      <c r="K174" t="n">
        <v>3976</v>
      </c>
      <c r="L174" t="inlineStr">
        <is>
          <t>L-0701</t>
        </is>
      </c>
      <c r="M174">
        <f>F174-G174</f>
        <v/>
      </c>
      <c r="N174" s="2">
        <f>M174/F174</f>
        <v/>
      </c>
      <c r="O174" s="2">
        <f>I174*J174/60/M174</f>
        <v/>
      </c>
      <c r="P174" s="2">
        <f>K174/J174</f>
        <v/>
      </c>
      <c r="Q174" s="2">
        <f>N174*O174*P174</f>
        <v/>
      </c>
    </row>
    <row r="175">
      <c r="A175" t="inlineStr">
        <is>
          <t>2026-07-08</t>
        </is>
      </c>
      <c r="B175" t="inlineStr">
        <is>
          <t>주간</t>
        </is>
      </c>
      <c r="C175" t="inlineStr">
        <is>
          <t>P3</t>
        </is>
      </c>
      <c r="D175" t="inlineStr">
        <is>
          <t>소결</t>
        </is>
      </c>
      <c r="E175" t="inlineStr">
        <is>
          <t>SF-02</t>
        </is>
      </c>
      <c r="F175" t="n">
        <v>480</v>
      </c>
      <c r="G175" t="n">
        <v>37</v>
      </c>
      <c r="H175" t="inlineStr">
        <is>
          <t>승온 대기</t>
        </is>
      </c>
      <c r="I175" t="n">
        <v>6.5</v>
      </c>
      <c r="J175" t="n">
        <v>3715</v>
      </c>
      <c r="K175" t="n">
        <v>3629</v>
      </c>
      <c r="L175" t="inlineStr">
        <is>
          <t>L-0701</t>
        </is>
      </c>
      <c r="M175">
        <f>F175-G175</f>
        <v/>
      </c>
      <c r="N175" s="2">
        <f>M175/F175</f>
        <v/>
      </c>
      <c r="O175" s="2">
        <f>I175*J175/60/M175</f>
        <v/>
      </c>
      <c r="P175" s="2">
        <f>K175/J175</f>
        <v/>
      </c>
      <c r="Q175" s="2">
        <f>N175*O175*P175</f>
        <v/>
      </c>
    </row>
    <row r="176">
      <c r="A176" t="inlineStr">
        <is>
          <t>2026-07-08</t>
        </is>
      </c>
      <c r="B176" t="inlineStr">
        <is>
          <t>주간</t>
        </is>
      </c>
      <c r="C176" t="inlineStr">
        <is>
          <t>P4</t>
        </is>
      </c>
      <c r="D176" t="inlineStr">
        <is>
          <t>연삭</t>
        </is>
      </c>
      <c r="E176" t="inlineStr">
        <is>
          <t>GR-01</t>
        </is>
      </c>
      <c r="F176" t="n">
        <v>480</v>
      </c>
      <c r="G176" t="n">
        <v>78</v>
      </c>
      <c r="H176" t="inlineStr">
        <is>
          <t>공구 교체</t>
        </is>
      </c>
      <c r="I176" t="n">
        <v>6.2</v>
      </c>
      <c r="J176" t="n">
        <v>3413</v>
      </c>
      <c r="K176" t="n">
        <v>3378</v>
      </c>
      <c r="L176" t="inlineStr">
        <is>
          <t>L-0701</t>
        </is>
      </c>
      <c r="M176">
        <f>F176-G176</f>
        <v/>
      </c>
      <c r="N176" s="2">
        <f>M176/F176</f>
        <v/>
      </c>
      <c r="O176" s="2">
        <f>I176*J176/60/M176</f>
        <v/>
      </c>
      <c r="P176" s="2">
        <f>K176/J176</f>
        <v/>
      </c>
      <c r="Q176" s="2">
        <f>N176*O176*P176</f>
        <v/>
      </c>
    </row>
    <row r="177">
      <c r="A177" t="inlineStr">
        <is>
          <t>2026-07-08</t>
        </is>
      </c>
      <c r="B177" t="inlineStr">
        <is>
          <t>주간</t>
        </is>
      </c>
      <c r="C177" t="inlineStr">
        <is>
          <t>P4</t>
        </is>
      </c>
      <c r="D177" t="inlineStr">
        <is>
          <t>연삭</t>
        </is>
      </c>
      <c r="E177" t="inlineStr">
        <is>
          <t>GR-02</t>
        </is>
      </c>
      <c r="F177" t="n">
        <v>480</v>
      </c>
      <c r="G177" t="n">
        <v>41</v>
      </c>
      <c r="H177" t="inlineStr">
        <is>
          <t>드레싱</t>
        </is>
      </c>
      <c r="I177" t="n">
        <v>6.2</v>
      </c>
      <c r="J177" t="n">
        <v>3860</v>
      </c>
      <c r="K177" t="n">
        <v>3823</v>
      </c>
      <c r="L177" t="inlineStr">
        <is>
          <t>L-0701</t>
        </is>
      </c>
      <c r="M177">
        <f>F177-G177</f>
        <v/>
      </c>
      <c r="N177" s="2">
        <f>M177/F177</f>
        <v/>
      </c>
      <c r="O177" s="2">
        <f>I177*J177/60/M177</f>
        <v/>
      </c>
      <c r="P177" s="2">
        <f>K177/J177</f>
        <v/>
      </c>
      <c r="Q177" s="2">
        <f>N177*O177*P177</f>
        <v/>
      </c>
    </row>
    <row r="178">
      <c r="A178" t="inlineStr">
        <is>
          <t>2026-07-08</t>
        </is>
      </c>
      <c r="B178" t="inlineStr">
        <is>
          <t>주간</t>
        </is>
      </c>
      <c r="C178" t="inlineStr">
        <is>
          <t>P5</t>
        </is>
      </c>
      <c r="D178" t="inlineStr">
        <is>
          <t>검사</t>
        </is>
      </c>
      <c r="E178" t="inlineStr">
        <is>
          <t>IN-01</t>
        </is>
      </c>
      <c r="F178" t="n">
        <v>480</v>
      </c>
      <c r="G178" t="n">
        <v>20</v>
      </c>
      <c r="H178" t="inlineStr">
        <is>
          <t>측정기 교정</t>
        </is>
      </c>
      <c r="I178" t="n">
        <v>5.5</v>
      </c>
      <c r="J178" t="n">
        <v>4763</v>
      </c>
      <c r="K178" t="n">
        <v>4747</v>
      </c>
      <c r="L178" t="inlineStr">
        <is>
          <t>L-0701</t>
        </is>
      </c>
      <c r="M178">
        <f>F178-G178</f>
        <v/>
      </c>
      <c r="N178" s="2">
        <f>M178/F178</f>
        <v/>
      </c>
      <c r="O178" s="2">
        <f>I178*J178/60/M178</f>
        <v/>
      </c>
      <c r="P178" s="2">
        <f>K178/J178</f>
        <v/>
      </c>
      <c r="Q178" s="2">
        <f>N178*O178*P178</f>
        <v/>
      </c>
    </row>
    <row r="179">
      <c r="A179" t="inlineStr">
        <is>
          <t>2026-07-08</t>
        </is>
      </c>
      <c r="B179" t="inlineStr">
        <is>
          <t>주간</t>
        </is>
      </c>
      <c r="C179" t="inlineStr">
        <is>
          <t>P5</t>
        </is>
      </c>
      <c r="D179" t="inlineStr">
        <is>
          <t>검사</t>
        </is>
      </c>
      <c r="E179" t="inlineStr">
        <is>
          <t>IN-02</t>
        </is>
      </c>
      <c r="F179" t="n">
        <v>480</v>
      </c>
      <c r="G179" t="n">
        <v>15</v>
      </c>
      <c r="H179" t="inlineStr">
        <is>
          <t>샘플 재검</t>
        </is>
      </c>
      <c r="I179" t="n">
        <v>5.5</v>
      </c>
      <c r="J179" t="n">
        <v>4851</v>
      </c>
      <c r="K179" t="n">
        <v>4834</v>
      </c>
      <c r="L179" t="inlineStr">
        <is>
          <t>L-0701</t>
        </is>
      </c>
      <c r="M179">
        <f>F179-G179</f>
        <v/>
      </c>
      <c r="N179" s="2">
        <f>M179/F179</f>
        <v/>
      </c>
      <c r="O179" s="2">
        <f>I179*J179/60/M179</f>
        <v/>
      </c>
      <c r="P179" s="2">
        <f>K179/J179</f>
        <v/>
      </c>
      <c r="Q179" s="2">
        <f>N179*O179*P179</f>
        <v/>
      </c>
    </row>
    <row r="180">
      <c r="A180" t="inlineStr">
        <is>
          <t>2026-07-08</t>
        </is>
      </c>
      <c r="B180" t="inlineStr">
        <is>
          <t>주간</t>
        </is>
      </c>
      <c r="C180" t="inlineStr">
        <is>
          <t>P6</t>
        </is>
      </c>
      <c r="D180" t="inlineStr">
        <is>
          <t>포장</t>
        </is>
      </c>
      <c r="E180" t="inlineStr">
        <is>
          <t>PK-01</t>
        </is>
      </c>
      <c r="F180" t="n">
        <v>480</v>
      </c>
      <c r="G180" t="n">
        <v>48</v>
      </c>
      <c r="H180" t="inlineStr">
        <is>
          <t>라벨 교체</t>
        </is>
      </c>
      <c r="I180" t="n">
        <v>4.8</v>
      </c>
      <c r="J180" t="n">
        <v>5219</v>
      </c>
      <c r="K180" t="n">
        <v>5209</v>
      </c>
      <c r="L180" t="inlineStr">
        <is>
          <t>L-0701</t>
        </is>
      </c>
      <c r="M180">
        <f>F180-G180</f>
        <v/>
      </c>
      <c r="N180" s="2">
        <f>M180/F180</f>
        <v/>
      </c>
      <c r="O180" s="2">
        <f>I180*J180/60/M180</f>
        <v/>
      </c>
      <c r="P180" s="2">
        <f>K180/J180</f>
        <v/>
      </c>
      <c r="Q180" s="2">
        <f>N180*O180*P180</f>
        <v/>
      </c>
    </row>
    <row r="181">
      <c r="A181" t="inlineStr">
        <is>
          <t>2026-07-08</t>
        </is>
      </c>
      <c r="B181" t="inlineStr">
        <is>
          <t>주간</t>
        </is>
      </c>
      <c r="C181" t="inlineStr">
        <is>
          <t>P6</t>
        </is>
      </c>
      <c r="D181" t="inlineStr">
        <is>
          <t>포장</t>
        </is>
      </c>
      <c r="E181" t="inlineStr">
        <is>
          <t>PK-02</t>
        </is>
      </c>
      <c r="F181" t="n">
        <v>480</v>
      </c>
      <c r="G181" t="n">
        <v>6</v>
      </c>
      <c r="H181" t="inlineStr">
        <is>
          <t>라벨 교체</t>
        </is>
      </c>
      <c r="I181" t="n">
        <v>4.8</v>
      </c>
      <c r="J181" t="n">
        <v>5648</v>
      </c>
      <c r="K181" t="n">
        <v>5636</v>
      </c>
      <c r="L181" t="inlineStr">
        <is>
          <t>L-0701</t>
        </is>
      </c>
      <c r="M181">
        <f>F181-G181</f>
        <v/>
      </c>
      <c r="N181" s="2">
        <f>M181/F181</f>
        <v/>
      </c>
      <c r="O181" s="2">
        <f>I181*J181/60/M181</f>
        <v/>
      </c>
      <c r="P181" s="2">
        <f>K181/J181</f>
        <v/>
      </c>
      <c r="Q181" s="2">
        <f>N181*O181*P181</f>
        <v/>
      </c>
    </row>
    <row r="182">
      <c r="A182" t="inlineStr">
        <is>
          <t>2026-07-08</t>
        </is>
      </c>
      <c r="B182" t="inlineStr">
        <is>
          <t>야간</t>
        </is>
      </c>
      <c r="C182" t="inlineStr">
        <is>
          <t>P1</t>
        </is>
      </c>
      <c r="D182" t="inlineStr">
        <is>
          <t>원료혼합</t>
        </is>
      </c>
      <c r="E182" t="inlineStr">
        <is>
          <t>MX-01</t>
        </is>
      </c>
      <c r="F182" t="n">
        <v>480</v>
      </c>
      <c r="G182" t="n">
        <v>19</v>
      </c>
      <c r="H182" t="inlineStr">
        <is>
          <t>청소</t>
        </is>
      </c>
      <c r="I182" t="n">
        <v>5</v>
      </c>
      <c r="J182" t="n">
        <v>5390</v>
      </c>
      <c r="K182" t="n">
        <v>5359</v>
      </c>
      <c r="L182" t="inlineStr">
        <is>
          <t>L-0701</t>
        </is>
      </c>
      <c r="M182">
        <f>F182-G182</f>
        <v/>
      </c>
      <c r="N182" s="2">
        <f>M182/F182</f>
        <v/>
      </c>
      <c r="O182" s="2">
        <f>I182*J182/60/M182</f>
        <v/>
      </c>
      <c r="P182" s="2">
        <f>K182/J182</f>
        <v/>
      </c>
      <c r="Q182" s="2">
        <f>N182*O182*P182</f>
        <v/>
      </c>
    </row>
    <row r="183">
      <c r="A183" t="inlineStr">
        <is>
          <t>2026-07-08</t>
        </is>
      </c>
      <c r="B183" t="inlineStr">
        <is>
          <t>야간</t>
        </is>
      </c>
      <c r="C183" t="inlineStr">
        <is>
          <t>P1</t>
        </is>
      </c>
      <c r="D183" t="inlineStr">
        <is>
          <t>원료혼합</t>
        </is>
      </c>
      <c r="E183" t="inlineStr">
        <is>
          <t>MX-02</t>
        </is>
      </c>
      <c r="F183" t="n">
        <v>480</v>
      </c>
      <c r="G183" t="n">
        <v>21</v>
      </c>
      <c r="H183" t="inlineStr">
        <is>
          <t>청소</t>
        </is>
      </c>
      <c r="I183" t="n">
        <v>5</v>
      </c>
      <c r="J183" t="n">
        <v>5129</v>
      </c>
      <c r="K183" t="n">
        <v>5093</v>
      </c>
      <c r="L183" t="inlineStr">
        <is>
          <t>L-0701</t>
        </is>
      </c>
      <c r="M183">
        <f>F183-G183</f>
        <v/>
      </c>
      <c r="N183" s="2">
        <f>M183/F183</f>
        <v/>
      </c>
      <c r="O183" s="2">
        <f>I183*J183/60/M183</f>
        <v/>
      </c>
      <c r="P183" s="2">
        <f>K183/J183</f>
        <v/>
      </c>
      <c r="Q183" s="2">
        <f>N183*O183*P183</f>
        <v/>
      </c>
    </row>
    <row r="184">
      <c r="A184" t="inlineStr">
        <is>
          <t>2026-07-08</t>
        </is>
      </c>
      <c r="B184" t="inlineStr">
        <is>
          <t>야간</t>
        </is>
      </c>
      <c r="C184" t="inlineStr">
        <is>
          <t>P2</t>
        </is>
      </c>
      <c r="D184" t="inlineStr">
        <is>
          <t>성형</t>
        </is>
      </c>
      <c r="E184" t="inlineStr">
        <is>
          <t>PR-01</t>
        </is>
      </c>
      <c r="F184" t="n">
        <v>480</v>
      </c>
      <c r="G184" t="n">
        <v>37</v>
      </c>
      <c r="H184" t="inlineStr">
        <is>
          <t>분말 공급 지연</t>
        </is>
      </c>
      <c r="I184" t="n">
        <v>6</v>
      </c>
      <c r="J184" t="n">
        <v>3947</v>
      </c>
      <c r="K184" t="n">
        <v>3901</v>
      </c>
      <c r="L184" t="inlineStr">
        <is>
          <t>L-0701</t>
        </is>
      </c>
      <c r="M184">
        <f>F184-G184</f>
        <v/>
      </c>
      <c r="N184" s="2">
        <f>M184/F184</f>
        <v/>
      </c>
      <c r="O184" s="2">
        <f>I184*J184/60/M184</f>
        <v/>
      </c>
      <c r="P184" s="2">
        <f>K184/J184</f>
        <v/>
      </c>
      <c r="Q184" s="2">
        <f>N184*O184*P184</f>
        <v/>
      </c>
    </row>
    <row r="185">
      <c r="A185" t="inlineStr">
        <is>
          <t>2026-07-08</t>
        </is>
      </c>
      <c r="B185" t="inlineStr">
        <is>
          <t>야간</t>
        </is>
      </c>
      <c r="C185" t="inlineStr">
        <is>
          <t>P2</t>
        </is>
      </c>
      <c r="D185" t="inlineStr">
        <is>
          <t>성형</t>
        </is>
      </c>
      <c r="E185" t="inlineStr">
        <is>
          <t>PR-02</t>
        </is>
      </c>
      <c r="F185" t="n">
        <v>480</v>
      </c>
      <c r="G185" t="n">
        <v>88</v>
      </c>
      <c r="H185" t="inlineStr">
        <is>
          <t>금형 교체</t>
        </is>
      </c>
      <c r="I185" t="n">
        <v>6</v>
      </c>
      <c r="J185" t="n">
        <v>3618</v>
      </c>
      <c r="K185" t="n">
        <v>3572</v>
      </c>
      <c r="L185" t="inlineStr">
        <is>
          <t>L-0701</t>
        </is>
      </c>
      <c r="M185">
        <f>F185-G185</f>
        <v/>
      </c>
      <c r="N185" s="2">
        <f>M185/F185</f>
        <v/>
      </c>
      <c r="O185" s="2">
        <f>I185*J185/60/M185</f>
        <v/>
      </c>
      <c r="P185" s="2">
        <f>K185/J185</f>
        <v/>
      </c>
      <c r="Q185" s="2">
        <f>N185*O185*P185</f>
        <v/>
      </c>
    </row>
    <row r="186">
      <c r="A186" t="inlineStr">
        <is>
          <t>2026-07-08</t>
        </is>
      </c>
      <c r="B186" t="inlineStr">
        <is>
          <t>야간</t>
        </is>
      </c>
      <c r="C186" t="inlineStr">
        <is>
          <t>P3</t>
        </is>
      </c>
      <c r="D186" t="inlineStr">
        <is>
          <t>소결</t>
        </is>
      </c>
      <c r="E186" t="inlineStr">
        <is>
          <t>SF-01</t>
        </is>
      </c>
      <c r="F186" t="n">
        <v>480</v>
      </c>
      <c r="G186" t="n">
        <v>22</v>
      </c>
      <c r="H186" t="inlineStr">
        <is>
          <t>장입 대기</t>
        </is>
      </c>
      <c r="I186" t="n">
        <v>6.5</v>
      </c>
      <c r="J186" t="n">
        <v>3859</v>
      </c>
      <c r="K186" t="n">
        <v>3760</v>
      </c>
      <c r="L186" t="inlineStr">
        <is>
          <t>L-0701</t>
        </is>
      </c>
      <c r="M186">
        <f>F186-G186</f>
        <v/>
      </c>
      <c r="N186" s="2">
        <f>M186/F186</f>
        <v/>
      </c>
      <c r="O186" s="2">
        <f>I186*J186/60/M186</f>
        <v/>
      </c>
      <c r="P186" s="2">
        <f>K186/J186</f>
        <v/>
      </c>
      <c r="Q186" s="2">
        <f>N186*O186*P186</f>
        <v/>
      </c>
    </row>
    <row r="187">
      <c r="A187" t="inlineStr">
        <is>
          <t>2026-07-08</t>
        </is>
      </c>
      <c r="B187" t="inlineStr">
        <is>
          <t>야간</t>
        </is>
      </c>
      <c r="C187" t="inlineStr">
        <is>
          <t>P3</t>
        </is>
      </c>
      <c r="D187" t="inlineStr">
        <is>
          <t>소결</t>
        </is>
      </c>
      <c r="E187" t="inlineStr">
        <is>
          <t>SF-02</t>
        </is>
      </c>
      <c r="F187" t="n">
        <v>480</v>
      </c>
      <c r="G187" t="n">
        <v>39</v>
      </c>
      <c r="H187" t="inlineStr">
        <is>
          <t>온도 이상 정지</t>
        </is>
      </c>
      <c r="I187" t="n">
        <v>6.5</v>
      </c>
      <c r="J187" t="n">
        <v>3668</v>
      </c>
      <c r="K187" t="n">
        <v>3577</v>
      </c>
      <c r="L187" t="inlineStr">
        <is>
          <t>L-0701</t>
        </is>
      </c>
      <c r="M187">
        <f>F187-G187</f>
        <v/>
      </c>
      <c r="N187" s="2">
        <f>M187/F187</f>
        <v/>
      </c>
      <c r="O187" s="2">
        <f>I187*J187/60/M187</f>
        <v/>
      </c>
      <c r="P187" s="2">
        <f>K187/J187</f>
        <v/>
      </c>
      <c r="Q187" s="2">
        <f>N187*O187*P187</f>
        <v/>
      </c>
    </row>
    <row r="188">
      <c r="A188" t="inlineStr">
        <is>
          <t>2026-07-08</t>
        </is>
      </c>
      <c r="B188" t="inlineStr">
        <is>
          <t>야간</t>
        </is>
      </c>
      <c r="C188" t="inlineStr">
        <is>
          <t>P4</t>
        </is>
      </c>
      <c r="D188" t="inlineStr">
        <is>
          <t>연삭</t>
        </is>
      </c>
      <c r="E188" t="inlineStr">
        <is>
          <t>GR-01</t>
        </is>
      </c>
      <c r="F188" t="n">
        <v>480</v>
      </c>
      <c r="G188" t="n">
        <v>80</v>
      </c>
      <c r="H188" t="inlineStr">
        <is>
          <t>공구 교체</t>
        </is>
      </c>
      <c r="I188" t="n">
        <v>6.2</v>
      </c>
      <c r="J188" t="n">
        <v>3514</v>
      </c>
      <c r="K188" t="n">
        <v>3478</v>
      </c>
      <c r="L188" t="inlineStr">
        <is>
          <t>L-0701</t>
        </is>
      </c>
      <c r="M188">
        <f>F188-G188</f>
        <v/>
      </c>
      <c r="N188" s="2">
        <f>M188/F188</f>
        <v/>
      </c>
      <c r="O188" s="2">
        <f>I188*J188/60/M188</f>
        <v/>
      </c>
      <c r="P188" s="2">
        <f>K188/J188</f>
        <v/>
      </c>
      <c r="Q188" s="2">
        <f>N188*O188*P188</f>
        <v/>
      </c>
    </row>
    <row r="189">
      <c r="A189" t="inlineStr">
        <is>
          <t>2026-07-08</t>
        </is>
      </c>
      <c r="B189" t="inlineStr">
        <is>
          <t>야간</t>
        </is>
      </c>
      <c r="C189" t="inlineStr">
        <is>
          <t>P4</t>
        </is>
      </c>
      <c r="D189" t="inlineStr">
        <is>
          <t>연삭</t>
        </is>
      </c>
      <c r="E189" t="inlineStr">
        <is>
          <t>GR-02</t>
        </is>
      </c>
      <c r="F189" t="n">
        <v>480</v>
      </c>
      <c r="G189" t="n">
        <v>40</v>
      </c>
      <c r="H189" t="inlineStr">
        <is>
          <t>드레싱</t>
        </is>
      </c>
      <c r="I189" t="n">
        <v>6.2</v>
      </c>
      <c r="J189" t="n">
        <v>4027</v>
      </c>
      <c r="K189" t="n">
        <v>3983</v>
      </c>
      <c r="L189" t="inlineStr">
        <is>
          <t>L-0701</t>
        </is>
      </c>
      <c r="M189">
        <f>F189-G189</f>
        <v/>
      </c>
      <c r="N189" s="2">
        <f>M189/F189</f>
        <v/>
      </c>
      <c r="O189" s="2">
        <f>I189*J189/60/M189</f>
        <v/>
      </c>
      <c r="P189" s="2">
        <f>K189/J189</f>
        <v/>
      </c>
      <c r="Q189" s="2">
        <f>N189*O189*P189</f>
        <v/>
      </c>
    </row>
    <row r="190">
      <c r="A190" t="inlineStr">
        <is>
          <t>2026-07-08</t>
        </is>
      </c>
      <c r="B190" t="inlineStr">
        <is>
          <t>야간</t>
        </is>
      </c>
      <c r="C190" t="inlineStr">
        <is>
          <t>P5</t>
        </is>
      </c>
      <c r="D190" t="inlineStr">
        <is>
          <t>검사</t>
        </is>
      </c>
      <c r="E190" t="inlineStr">
        <is>
          <t>IN-01</t>
        </is>
      </c>
      <c r="F190" t="n">
        <v>480</v>
      </c>
      <c r="G190" t="n">
        <v>16</v>
      </c>
      <c r="H190" t="inlineStr">
        <is>
          <t>측정기 교정</t>
        </is>
      </c>
      <c r="I190" t="n">
        <v>5.5</v>
      </c>
      <c r="J190" t="n">
        <v>4894</v>
      </c>
      <c r="K190" t="n">
        <v>4877</v>
      </c>
      <c r="L190" t="inlineStr">
        <is>
          <t>L-0701</t>
        </is>
      </c>
      <c r="M190">
        <f>F190-G190</f>
        <v/>
      </c>
      <c r="N190" s="2">
        <f>M190/F190</f>
        <v/>
      </c>
      <c r="O190" s="2">
        <f>I190*J190/60/M190</f>
        <v/>
      </c>
      <c r="P190" s="2">
        <f>K190/J190</f>
        <v/>
      </c>
      <c r="Q190" s="2">
        <f>N190*O190*P190</f>
        <v/>
      </c>
    </row>
    <row r="191">
      <c r="A191" t="inlineStr">
        <is>
          <t>2026-07-08</t>
        </is>
      </c>
      <c r="B191" t="inlineStr">
        <is>
          <t>야간</t>
        </is>
      </c>
      <c r="C191" t="inlineStr">
        <is>
          <t>P5</t>
        </is>
      </c>
      <c r="D191" t="inlineStr">
        <is>
          <t>검사</t>
        </is>
      </c>
      <c r="E191" t="inlineStr">
        <is>
          <t>IN-02</t>
        </is>
      </c>
      <c r="F191" t="n">
        <v>480</v>
      </c>
      <c r="G191" t="n">
        <v>14</v>
      </c>
      <c r="H191" t="inlineStr">
        <is>
          <t>샘플 재검</t>
        </is>
      </c>
      <c r="I191" t="n">
        <v>5.5</v>
      </c>
      <c r="J191" t="n">
        <v>4633</v>
      </c>
      <c r="K191" t="n">
        <v>4615</v>
      </c>
      <c r="L191" t="inlineStr">
        <is>
          <t>L-0701</t>
        </is>
      </c>
      <c r="M191">
        <f>F191-G191</f>
        <v/>
      </c>
      <c r="N191" s="2">
        <f>M191/F191</f>
        <v/>
      </c>
      <c r="O191" s="2">
        <f>I191*J191/60/M191</f>
        <v/>
      </c>
      <c r="P191" s="2">
        <f>K191/J191</f>
        <v/>
      </c>
      <c r="Q191" s="2">
        <f>N191*O191*P191</f>
        <v/>
      </c>
    </row>
    <row r="192">
      <c r="A192" t="inlineStr">
        <is>
          <t>2026-07-08</t>
        </is>
      </c>
      <c r="B192" t="inlineStr">
        <is>
          <t>야간</t>
        </is>
      </c>
      <c r="C192" t="inlineStr">
        <is>
          <t>P6</t>
        </is>
      </c>
      <c r="D192" t="inlineStr">
        <is>
          <t>포장</t>
        </is>
      </c>
      <c r="E192" t="inlineStr">
        <is>
          <t>PK-01</t>
        </is>
      </c>
      <c r="F192" t="n">
        <v>480</v>
      </c>
      <c r="G192" t="n">
        <v>21</v>
      </c>
      <c r="H192" t="inlineStr">
        <is>
          <t>라벨 교체</t>
        </is>
      </c>
      <c r="I192" t="n">
        <v>4.8</v>
      </c>
      <c r="J192" t="n">
        <v>5477</v>
      </c>
      <c r="K192" t="n">
        <v>5460</v>
      </c>
      <c r="L192" t="inlineStr">
        <is>
          <t>L-0701</t>
        </is>
      </c>
      <c r="M192">
        <f>F192-G192</f>
        <v/>
      </c>
      <c r="N192" s="2">
        <f>M192/F192</f>
        <v/>
      </c>
      <c r="O192" s="2">
        <f>I192*J192/60/M192</f>
        <v/>
      </c>
      <c r="P192" s="2">
        <f>K192/J192</f>
        <v/>
      </c>
      <c r="Q192" s="2">
        <f>N192*O192*P192</f>
        <v/>
      </c>
    </row>
    <row r="193">
      <c r="A193" t="inlineStr">
        <is>
          <t>2026-07-08</t>
        </is>
      </c>
      <c r="B193" t="inlineStr">
        <is>
          <t>야간</t>
        </is>
      </c>
      <c r="C193" t="inlineStr">
        <is>
          <t>P6</t>
        </is>
      </c>
      <c r="D193" t="inlineStr">
        <is>
          <t>포장</t>
        </is>
      </c>
      <c r="E193" t="inlineStr">
        <is>
          <t>PK-02</t>
        </is>
      </c>
      <c r="F193" t="n">
        <v>480</v>
      </c>
      <c r="G193" t="n">
        <v>77</v>
      </c>
      <c r="H193" t="inlineStr">
        <is>
          <t>라벨 교체</t>
        </is>
      </c>
      <c r="I193" t="n">
        <v>4.8</v>
      </c>
      <c r="J193" t="n">
        <v>4776</v>
      </c>
      <c r="K193" t="n">
        <v>4760</v>
      </c>
      <c r="L193" t="inlineStr">
        <is>
          <t>L-0701</t>
        </is>
      </c>
      <c r="M193">
        <f>F193-G193</f>
        <v/>
      </c>
      <c r="N193" s="2">
        <f>M193/F193</f>
        <v/>
      </c>
      <c r="O193" s="2">
        <f>I193*J193/60/M193</f>
        <v/>
      </c>
      <c r="P193" s="2">
        <f>K193/J193</f>
        <v/>
      </c>
      <c r="Q193" s="2">
        <f>N193*O193*P193</f>
        <v/>
      </c>
    </row>
    <row r="194">
      <c r="A194" t="inlineStr">
        <is>
          <t>2026-07-09</t>
        </is>
      </c>
      <c r="B194" t="inlineStr">
        <is>
          <t>주간</t>
        </is>
      </c>
      <c r="C194" t="inlineStr">
        <is>
          <t>P1</t>
        </is>
      </c>
      <c r="D194" t="inlineStr">
        <is>
          <t>원료혼합</t>
        </is>
      </c>
      <c r="E194" t="inlineStr">
        <is>
          <t>MX-01</t>
        </is>
      </c>
      <c r="F194" t="n">
        <v>480</v>
      </c>
      <c r="G194" t="n">
        <v>23</v>
      </c>
      <c r="H194" t="inlineStr">
        <is>
          <t>배합 확인</t>
        </is>
      </c>
      <c r="I194" t="n">
        <v>5</v>
      </c>
      <c r="J194" t="n">
        <v>5047</v>
      </c>
      <c r="K194" t="n">
        <v>5011</v>
      </c>
      <c r="L194" t="inlineStr">
        <is>
          <t>L-0701</t>
        </is>
      </c>
      <c r="M194">
        <f>F194-G194</f>
        <v/>
      </c>
      <c r="N194" s="2">
        <f>M194/F194</f>
        <v/>
      </c>
      <c r="O194" s="2">
        <f>I194*J194/60/M194</f>
        <v/>
      </c>
      <c r="P194" s="2">
        <f>K194/J194</f>
        <v/>
      </c>
      <c r="Q194" s="2">
        <f>N194*O194*P194</f>
        <v/>
      </c>
    </row>
    <row r="195">
      <c r="A195" t="inlineStr">
        <is>
          <t>2026-07-09</t>
        </is>
      </c>
      <c r="B195" t="inlineStr">
        <is>
          <t>주간</t>
        </is>
      </c>
      <c r="C195" t="inlineStr">
        <is>
          <t>P1</t>
        </is>
      </c>
      <c r="D195" t="inlineStr">
        <is>
          <t>원료혼합</t>
        </is>
      </c>
      <c r="E195" t="inlineStr">
        <is>
          <t>MX-02</t>
        </is>
      </c>
      <c r="F195" t="n">
        <v>480</v>
      </c>
      <c r="G195" t="n">
        <v>2</v>
      </c>
      <c r="H195" t="inlineStr">
        <is>
          <t>배합 확인</t>
        </is>
      </c>
      <c r="I195" t="n">
        <v>5</v>
      </c>
      <c r="J195" t="n">
        <v>5322</v>
      </c>
      <c r="K195" t="n">
        <v>5288</v>
      </c>
      <c r="L195" t="inlineStr">
        <is>
          <t>L-0701</t>
        </is>
      </c>
      <c r="M195">
        <f>F195-G195</f>
        <v/>
      </c>
      <c r="N195" s="2">
        <f>M195/F195</f>
        <v/>
      </c>
      <c r="O195" s="2">
        <f>I195*J195/60/M195</f>
        <v/>
      </c>
      <c r="P195" s="2">
        <f>K195/J195</f>
        <v/>
      </c>
      <c r="Q195" s="2">
        <f>N195*O195*P195</f>
        <v/>
      </c>
    </row>
    <row r="196">
      <c r="A196" t="inlineStr">
        <is>
          <t>2026-07-09</t>
        </is>
      </c>
      <c r="B196" t="inlineStr">
        <is>
          <t>주간</t>
        </is>
      </c>
      <c r="C196" t="inlineStr">
        <is>
          <t>P2</t>
        </is>
      </c>
      <c r="D196" t="inlineStr">
        <is>
          <t>성형</t>
        </is>
      </c>
      <c r="E196" t="inlineStr">
        <is>
          <t>PR-01</t>
        </is>
      </c>
      <c r="F196" t="n">
        <v>480</v>
      </c>
      <c r="G196" t="n">
        <v>13</v>
      </c>
      <c r="H196" t="inlineStr">
        <is>
          <t>금형 교체</t>
        </is>
      </c>
      <c r="I196" t="n">
        <v>6</v>
      </c>
      <c r="J196" t="n">
        <v>4324</v>
      </c>
      <c r="K196" t="n">
        <v>4284</v>
      </c>
      <c r="L196" t="inlineStr">
        <is>
          <t>L-0701</t>
        </is>
      </c>
      <c r="M196">
        <f>F196-G196</f>
        <v/>
      </c>
      <c r="N196" s="2">
        <f>M196/F196</f>
        <v/>
      </c>
      <c r="O196" s="2">
        <f>I196*J196/60/M196</f>
        <v/>
      </c>
      <c r="P196" s="2">
        <f>K196/J196</f>
        <v/>
      </c>
      <c r="Q196" s="2">
        <f>N196*O196*P196</f>
        <v/>
      </c>
    </row>
    <row r="197">
      <c r="A197" t="inlineStr">
        <is>
          <t>2026-07-09</t>
        </is>
      </c>
      <c r="B197" t="inlineStr">
        <is>
          <t>주간</t>
        </is>
      </c>
      <c r="C197" t="inlineStr">
        <is>
          <t>P2</t>
        </is>
      </c>
      <c r="D197" t="inlineStr">
        <is>
          <t>성형</t>
        </is>
      </c>
      <c r="E197" t="inlineStr">
        <is>
          <t>PR-02</t>
        </is>
      </c>
      <c r="F197" t="n">
        <v>480</v>
      </c>
      <c r="G197" t="n">
        <v>24</v>
      </c>
      <c r="H197" t="inlineStr">
        <is>
          <t>금형 교체</t>
        </is>
      </c>
      <c r="I197" t="n">
        <v>6</v>
      </c>
      <c r="J197" t="n">
        <v>4349</v>
      </c>
      <c r="K197" t="n">
        <v>4317</v>
      </c>
      <c r="L197" t="inlineStr">
        <is>
          <t>L-0701</t>
        </is>
      </c>
      <c r="M197">
        <f>F197-G197</f>
        <v/>
      </c>
      <c r="N197" s="2">
        <f>M197/F197</f>
        <v/>
      </c>
      <c r="O197" s="2">
        <f>I197*J197/60/M197</f>
        <v/>
      </c>
      <c r="P197" s="2">
        <f>K197/J197</f>
        <v/>
      </c>
      <c r="Q197" s="2">
        <f>N197*O197*P197</f>
        <v/>
      </c>
    </row>
    <row r="198">
      <c r="A198" t="inlineStr">
        <is>
          <t>2026-07-09</t>
        </is>
      </c>
      <c r="B198" t="inlineStr">
        <is>
          <t>주간</t>
        </is>
      </c>
      <c r="C198" t="inlineStr">
        <is>
          <t>P3</t>
        </is>
      </c>
      <c r="D198" t="inlineStr">
        <is>
          <t>소결</t>
        </is>
      </c>
      <c r="E198" t="inlineStr">
        <is>
          <t>SF-01</t>
        </is>
      </c>
      <c r="F198" t="n">
        <v>480</v>
      </c>
      <c r="G198" t="n">
        <v>42</v>
      </c>
      <c r="H198" t="inlineStr">
        <is>
          <t>장입 대기</t>
        </is>
      </c>
      <c r="I198" t="n">
        <v>6.5</v>
      </c>
      <c r="J198" t="n">
        <v>3654</v>
      </c>
      <c r="K198" t="n">
        <v>3598</v>
      </c>
      <c r="L198" t="inlineStr">
        <is>
          <t>L-0701</t>
        </is>
      </c>
      <c r="M198">
        <f>F198-G198</f>
        <v/>
      </c>
      <c r="N198" s="2">
        <f>M198/F198</f>
        <v/>
      </c>
      <c r="O198" s="2">
        <f>I198*J198/60/M198</f>
        <v/>
      </c>
      <c r="P198" s="2">
        <f>K198/J198</f>
        <v/>
      </c>
      <c r="Q198" s="2">
        <f>N198*O198*P198</f>
        <v/>
      </c>
    </row>
    <row r="199">
      <c r="A199" t="inlineStr">
        <is>
          <t>2026-07-09</t>
        </is>
      </c>
      <c r="B199" t="inlineStr">
        <is>
          <t>주간</t>
        </is>
      </c>
      <c r="C199" t="inlineStr">
        <is>
          <t>P3</t>
        </is>
      </c>
      <c r="D199" t="inlineStr">
        <is>
          <t>소결</t>
        </is>
      </c>
      <c r="E199" t="inlineStr">
        <is>
          <t>SF-02</t>
        </is>
      </c>
      <c r="F199" t="n">
        <v>480</v>
      </c>
      <c r="G199" t="n">
        <v>25</v>
      </c>
      <c r="H199" t="inlineStr">
        <is>
          <t>장입 대기</t>
        </is>
      </c>
      <c r="I199" t="n">
        <v>6.5</v>
      </c>
      <c r="J199" t="n">
        <v>3971</v>
      </c>
      <c r="K199" t="n">
        <v>3906</v>
      </c>
      <c r="L199" t="inlineStr">
        <is>
          <t>L-0701</t>
        </is>
      </c>
      <c r="M199">
        <f>F199-G199</f>
        <v/>
      </c>
      <c r="N199" s="2">
        <f>M199/F199</f>
        <v/>
      </c>
      <c r="O199" s="2">
        <f>I199*J199/60/M199</f>
        <v/>
      </c>
      <c r="P199" s="2">
        <f>K199/J199</f>
        <v/>
      </c>
      <c r="Q199" s="2">
        <f>N199*O199*P199</f>
        <v/>
      </c>
    </row>
    <row r="200">
      <c r="A200" t="inlineStr">
        <is>
          <t>2026-07-09</t>
        </is>
      </c>
      <c r="B200" t="inlineStr">
        <is>
          <t>주간</t>
        </is>
      </c>
      <c r="C200" t="inlineStr">
        <is>
          <t>P4</t>
        </is>
      </c>
      <c r="D200" t="inlineStr">
        <is>
          <t>연삭</t>
        </is>
      </c>
      <c r="E200" t="inlineStr">
        <is>
          <t>GR-01</t>
        </is>
      </c>
      <c r="F200" t="n">
        <v>480</v>
      </c>
      <c r="G200" t="n">
        <v>50</v>
      </c>
      <c r="H200" t="inlineStr">
        <is>
          <t>공구 교체</t>
        </is>
      </c>
      <c r="I200" t="n">
        <v>6.2</v>
      </c>
      <c r="J200" t="n">
        <v>3786</v>
      </c>
      <c r="K200" t="n">
        <v>3753</v>
      </c>
      <c r="L200" t="inlineStr">
        <is>
          <t>L-0701</t>
        </is>
      </c>
      <c r="M200">
        <f>F200-G200</f>
        <v/>
      </c>
      <c r="N200" s="2">
        <f>M200/F200</f>
        <v/>
      </c>
      <c r="O200" s="2">
        <f>I200*J200/60/M200</f>
        <v/>
      </c>
      <c r="P200" s="2">
        <f>K200/J200</f>
        <v/>
      </c>
      <c r="Q200" s="2">
        <f>N200*O200*P200</f>
        <v/>
      </c>
    </row>
    <row r="201">
      <c r="A201" t="inlineStr">
        <is>
          <t>2026-07-09</t>
        </is>
      </c>
      <c r="B201" t="inlineStr">
        <is>
          <t>주간</t>
        </is>
      </c>
      <c r="C201" t="inlineStr">
        <is>
          <t>P4</t>
        </is>
      </c>
      <c r="D201" t="inlineStr">
        <is>
          <t>연삭</t>
        </is>
      </c>
      <c r="E201" t="inlineStr">
        <is>
          <t>GR-02</t>
        </is>
      </c>
      <c r="F201" t="n">
        <v>480</v>
      </c>
      <c r="G201" t="n">
        <v>84</v>
      </c>
      <c r="H201" t="inlineStr">
        <is>
          <t>공구 교체</t>
        </is>
      </c>
      <c r="I201" t="n">
        <v>6.2</v>
      </c>
      <c r="J201" t="n">
        <v>3501</v>
      </c>
      <c r="K201" t="n">
        <v>3467</v>
      </c>
      <c r="L201" t="inlineStr">
        <is>
          <t>L-0701</t>
        </is>
      </c>
      <c r="M201">
        <f>F201-G201</f>
        <v/>
      </c>
      <c r="N201" s="2">
        <f>M201/F201</f>
        <v/>
      </c>
      <c r="O201" s="2">
        <f>I201*J201/60/M201</f>
        <v/>
      </c>
      <c r="P201" s="2">
        <f>K201/J201</f>
        <v/>
      </c>
      <c r="Q201" s="2">
        <f>N201*O201*P201</f>
        <v/>
      </c>
    </row>
    <row r="202">
      <c r="A202" t="inlineStr">
        <is>
          <t>2026-07-09</t>
        </is>
      </c>
      <c r="B202" t="inlineStr">
        <is>
          <t>주간</t>
        </is>
      </c>
      <c r="C202" t="inlineStr">
        <is>
          <t>P5</t>
        </is>
      </c>
      <c r="D202" t="inlineStr">
        <is>
          <t>검사</t>
        </is>
      </c>
      <c r="E202" t="inlineStr">
        <is>
          <t>IN-01</t>
        </is>
      </c>
      <c r="F202" t="n">
        <v>480</v>
      </c>
      <c r="G202" t="n">
        <v>42</v>
      </c>
      <c r="H202" t="inlineStr">
        <is>
          <t>측정기 교정</t>
        </is>
      </c>
      <c r="I202" t="n">
        <v>5.5</v>
      </c>
      <c r="J202" t="n">
        <v>4396</v>
      </c>
      <c r="K202" t="n">
        <v>4382</v>
      </c>
      <c r="L202" t="inlineStr">
        <is>
          <t>L-0701</t>
        </is>
      </c>
      <c r="M202">
        <f>F202-G202</f>
        <v/>
      </c>
      <c r="N202" s="2">
        <f>M202/F202</f>
        <v/>
      </c>
      <c r="O202" s="2">
        <f>I202*J202/60/M202</f>
        <v/>
      </c>
      <c r="P202" s="2">
        <f>K202/J202</f>
        <v/>
      </c>
      <c r="Q202" s="2">
        <f>N202*O202*P202</f>
        <v/>
      </c>
    </row>
    <row r="203">
      <c r="A203" t="inlineStr">
        <is>
          <t>2026-07-09</t>
        </is>
      </c>
      <c r="B203" t="inlineStr">
        <is>
          <t>주간</t>
        </is>
      </c>
      <c r="C203" t="inlineStr">
        <is>
          <t>P5</t>
        </is>
      </c>
      <c r="D203" t="inlineStr">
        <is>
          <t>검사</t>
        </is>
      </c>
      <c r="E203" t="inlineStr">
        <is>
          <t>IN-02</t>
        </is>
      </c>
      <c r="F203" t="n">
        <v>480</v>
      </c>
      <c r="G203" t="n">
        <v>25</v>
      </c>
      <c r="H203" t="inlineStr">
        <is>
          <t>측정기 교정</t>
        </is>
      </c>
      <c r="I203" t="n">
        <v>5.5</v>
      </c>
      <c r="J203" t="n">
        <v>4762</v>
      </c>
      <c r="K203" t="n">
        <v>4747</v>
      </c>
      <c r="L203" t="inlineStr">
        <is>
          <t>L-0701</t>
        </is>
      </c>
      <c r="M203">
        <f>F203-G203</f>
        <v/>
      </c>
      <c r="N203" s="2">
        <f>M203/F203</f>
        <v/>
      </c>
      <c r="O203" s="2">
        <f>I203*J203/60/M203</f>
        <v/>
      </c>
      <c r="P203" s="2">
        <f>K203/J203</f>
        <v/>
      </c>
      <c r="Q203" s="2">
        <f>N203*O203*P203</f>
        <v/>
      </c>
    </row>
    <row r="204">
      <c r="A204" t="inlineStr">
        <is>
          <t>2026-07-09</t>
        </is>
      </c>
      <c r="B204" t="inlineStr">
        <is>
          <t>주간</t>
        </is>
      </c>
      <c r="C204" t="inlineStr">
        <is>
          <t>P6</t>
        </is>
      </c>
      <c r="D204" t="inlineStr">
        <is>
          <t>포장</t>
        </is>
      </c>
      <c r="E204" t="inlineStr">
        <is>
          <t>PK-01</t>
        </is>
      </c>
      <c r="F204" t="n">
        <v>480</v>
      </c>
      <c r="G204" t="n">
        <v>29</v>
      </c>
      <c r="H204" t="inlineStr">
        <is>
          <t>라벨 교체</t>
        </is>
      </c>
      <c r="I204" t="n">
        <v>4.8</v>
      </c>
      <c r="J204" t="n">
        <v>5244</v>
      </c>
      <c r="K204" t="n">
        <v>5233</v>
      </c>
      <c r="L204" t="inlineStr">
        <is>
          <t>L-0701</t>
        </is>
      </c>
      <c r="M204">
        <f>F204-G204</f>
        <v/>
      </c>
      <c r="N204" s="2">
        <f>M204/F204</f>
        <v/>
      </c>
      <c r="O204" s="2">
        <f>I204*J204/60/M204</f>
        <v/>
      </c>
      <c r="P204" s="2">
        <f>K204/J204</f>
        <v/>
      </c>
      <c r="Q204" s="2">
        <f>N204*O204*P204</f>
        <v/>
      </c>
    </row>
    <row r="205">
      <c r="A205" t="inlineStr">
        <is>
          <t>2026-07-09</t>
        </is>
      </c>
      <c r="B205" t="inlineStr">
        <is>
          <t>주간</t>
        </is>
      </c>
      <c r="C205" t="inlineStr">
        <is>
          <t>P6</t>
        </is>
      </c>
      <c r="D205" t="inlineStr">
        <is>
          <t>포장</t>
        </is>
      </c>
      <c r="E205" t="inlineStr">
        <is>
          <t>PK-02</t>
        </is>
      </c>
      <c r="F205" t="n">
        <v>480</v>
      </c>
      <c r="G205" t="n">
        <v>10</v>
      </c>
      <c r="H205" t="inlineStr">
        <is>
          <t>자재 대기</t>
        </is>
      </c>
      <c r="I205" t="n">
        <v>4.8</v>
      </c>
      <c r="J205" t="n">
        <v>5621</v>
      </c>
      <c r="K205" t="n">
        <v>5611</v>
      </c>
      <c r="L205" t="inlineStr">
        <is>
          <t>L-0701</t>
        </is>
      </c>
      <c r="M205">
        <f>F205-G205</f>
        <v/>
      </c>
      <c r="N205" s="2">
        <f>M205/F205</f>
        <v/>
      </c>
      <c r="O205" s="2">
        <f>I205*J205/60/M205</f>
        <v/>
      </c>
      <c r="P205" s="2">
        <f>K205/J205</f>
        <v/>
      </c>
      <c r="Q205" s="2">
        <f>N205*O205*P205</f>
        <v/>
      </c>
    </row>
    <row r="206">
      <c r="A206" t="inlineStr">
        <is>
          <t>2026-07-09</t>
        </is>
      </c>
      <c r="B206" t="inlineStr">
        <is>
          <t>야간</t>
        </is>
      </c>
      <c r="C206" t="inlineStr">
        <is>
          <t>P1</t>
        </is>
      </c>
      <c r="D206" t="inlineStr">
        <is>
          <t>원료혼합</t>
        </is>
      </c>
      <c r="E206" t="inlineStr">
        <is>
          <t>MX-01</t>
        </is>
      </c>
      <c r="F206" t="n">
        <v>480</v>
      </c>
      <c r="G206" t="n">
        <v>57</v>
      </c>
      <c r="H206" t="inlineStr">
        <is>
          <t>원료 대기</t>
        </is>
      </c>
      <c r="I206" t="n">
        <v>5</v>
      </c>
      <c r="J206" t="n">
        <v>4610</v>
      </c>
      <c r="K206" t="n">
        <v>4579</v>
      </c>
      <c r="L206" t="inlineStr">
        <is>
          <t>L-0701</t>
        </is>
      </c>
      <c r="M206">
        <f>F206-G206</f>
        <v/>
      </c>
      <c r="N206" s="2">
        <f>M206/F206</f>
        <v/>
      </c>
      <c r="O206" s="2">
        <f>I206*J206/60/M206</f>
        <v/>
      </c>
      <c r="P206" s="2">
        <f>K206/J206</f>
        <v/>
      </c>
      <c r="Q206" s="2">
        <f>N206*O206*P206</f>
        <v/>
      </c>
    </row>
    <row r="207">
      <c r="A207" t="inlineStr">
        <is>
          <t>2026-07-09</t>
        </is>
      </c>
      <c r="B207" t="inlineStr">
        <is>
          <t>야간</t>
        </is>
      </c>
      <c r="C207" t="inlineStr">
        <is>
          <t>P1</t>
        </is>
      </c>
      <c r="D207" t="inlineStr">
        <is>
          <t>원료혼합</t>
        </is>
      </c>
      <c r="E207" t="inlineStr">
        <is>
          <t>MX-02</t>
        </is>
      </c>
      <c r="F207" t="n">
        <v>480</v>
      </c>
      <c r="G207" t="n">
        <v>39</v>
      </c>
      <c r="H207" t="inlineStr">
        <is>
          <t>원료 대기</t>
        </is>
      </c>
      <c r="I207" t="n">
        <v>5</v>
      </c>
      <c r="J207" t="n">
        <v>5047</v>
      </c>
      <c r="K207" t="n">
        <v>5004</v>
      </c>
      <c r="L207" t="inlineStr">
        <is>
          <t>L-0701</t>
        </is>
      </c>
      <c r="M207">
        <f>F207-G207</f>
        <v/>
      </c>
      <c r="N207" s="2">
        <f>M207/F207</f>
        <v/>
      </c>
      <c r="O207" s="2">
        <f>I207*J207/60/M207</f>
        <v/>
      </c>
      <c r="P207" s="2">
        <f>K207/J207</f>
        <v/>
      </c>
      <c r="Q207" s="2">
        <f>N207*O207*P207</f>
        <v/>
      </c>
    </row>
    <row r="208">
      <c r="A208" t="inlineStr">
        <is>
          <t>2026-07-09</t>
        </is>
      </c>
      <c r="B208" t="inlineStr">
        <is>
          <t>야간</t>
        </is>
      </c>
      <c r="C208" t="inlineStr">
        <is>
          <t>P2</t>
        </is>
      </c>
      <c r="D208" t="inlineStr">
        <is>
          <t>성형</t>
        </is>
      </c>
      <c r="E208" t="inlineStr">
        <is>
          <t>PR-01</t>
        </is>
      </c>
      <c r="F208" t="n">
        <v>480</v>
      </c>
      <c r="G208" t="n">
        <v>17</v>
      </c>
      <c r="H208" t="inlineStr">
        <is>
          <t>분말 공급 지연</t>
        </is>
      </c>
      <c r="I208" t="n">
        <v>6</v>
      </c>
      <c r="J208" t="n">
        <v>4459</v>
      </c>
      <c r="K208" t="n">
        <v>4419</v>
      </c>
      <c r="L208" t="inlineStr">
        <is>
          <t>L-0701</t>
        </is>
      </c>
      <c r="M208">
        <f>F208-G208</f>
        <v/>
      </c>
      <c r="N208" s="2">
        <f>M208/F208</f>
        <v/>
      </c>
      <c r="O208" s="2">
        <f>I208*J208/60/M208</f>
        <v/>
      </c>
      <c r="P208" s="2">
        <f>K208/J208</f>
        <v/>
      </c>
      <c r="Q208" s="2">
        <f>N208*O208*P208</f>
        <v/>
      </c>
    </row>
    <row r="209">
      <c r="A209" t="inlineStr">
        <is>
          <t>2026-07-09</t>
        </is>
      </c>
      <c r="B209" t="inlineStr">
        <is>
          <t>야간</t>
        </is>
      </c>
      <c r="C209" t="inlineStr">
        <is>
          <t>P2</t>
        </is>
      </c>
      <c r="D209" t="inlineStr">
        <is>
          <t>성형</t>
        </is>
      </c>
      <c r="E209" t="inlineStr">
        <is>
          <t>PR-02</t>
        </is>
      </c>
      <c r="F209" t="n">
        <v>480</v>
      </c>
      <c r="G209" t="n">
        <v>6</v>
      </c>
      <c r="H209" t="inlineStr">
        <is>
          <t>압력 이상</t>
        </is>
      </c>
      <c r="I209" t="n">
        <v>6</v>
      </c>
      <c r="J209" t="n">
        <v>4470</v>
      </c>
      <c r="K209" t="n">
        <v>4433</v>
      </c>
      <c r="L209" t="inlineStr">
        <is>
          <t>L-0701</t>
        </is>
      </c>
      <c r="M209">
        <f>F209-G209</f>
        <v/>
      </c>
      <c r="N209" s="2">
        <f>M209/F209</f>
        <v/>
      </c>
      <c r="O209" s="2">
        <f>I209*J209/60/M209</f>
        <v/>
      </c>
      <c r="P209" s="2">
        <f>K209/J209</f>
        <v/>
      </c>
      <c r="Q209" s="2">
        <f>N209*O209*P209</f>
        <v/>
      </c>
    </row>
    <row r="210">
      <c r="A210" t="inlineStr">
        <is>
          <t>2026-07-09</t>
        </is>
      </c>
      <c r="B210" t="inlineStr">
        <is>
          <t>야간</t>
        </is>
      </c>
      <c r="C210" t="inlineStr">
        <is>
          <t>P3</t>
        </is>
      </c>
      <c r="D210" t="inlineStr">
        <is>
          <t>소결</t>
        </is>
      </c>
      <c r="E210" t="inlineStr">
        <is>
          <t>SF-01</t>
        </is>
      </c>
      <c r="F210" t="n">
        <v>480</v>
      </c>
      <c r="G210" t="n">
        <v>43</v>
      </c>
      <c r="H210" t="inlineStr">
        <is>
          <t>재가열</t>
        </is>
      </c>
      <c r="I210" t="n">
        <v>6.5</v>
      </c>
      <c r="J210" t="n">
        <v>3805</v>
      </c>
      <c r="K210" t="n">
        <v>3712</v>
      </c>
      <c r="L210" t="inlineStr">
        <is>
          <t>L-0701</t>
        </is>
      </c>
      <c r="M210">
        <f>F210-G210</f>
        <v/>
      </c>
      <c r="N210" s="2">
        <f>M210/F210</f>
        <v/>
      </c>
      <c r="O210" s="2">
        <f>I210*J210/60/M210</f>
        <v/>
      </c>
      <c r="P210" s="2">
        <f>K210/J210</f>
        <v/>
      </c>
      <c r="Q210" s="2">
        <f>N210*O210*P210</f>
        <v/>
      </c>
    </row>
    <row r="211">
      <c r="A211" t="inlineStr">
        <is>
          <t>2026-07-09</t>
        </is>
      </c>
      <c r="B211" t="inlineStr">
        <is>
          <t>야간</t>
        </is>
      </c>
      <c r="C211" t="inlineStr">
        <is>
          <t>P3</t>
        </is>
      </c>
      <c r="D211" t="inlineStr">
        <is>
          <t>소결</t>
        </is>
      </c>
      <c r="E211" t="inlineStr">
        <is>
          <t>SF-02</t>
        </is>
      </c>
      <c r="F211" t="n">
        <v>480</v>
      </c>
      <c r="G211" t="n">
        <v>46</v>
      </c>
      <c r="H211" t="inlineStr">
        <is>
          <t>장입 대기</t>
        </is>
      </c>
      <c r="I211" t="n">
        <v>6.5</v>
      </c>
      <c r="J211" t="n">
        <v>3601</v>
      </c>
      <c r="K211" t="n">
        <v>3536</v>
      </c>
      <c r="L211" t="inlineStr">
        <is>
          <t>L-0701</t>
        </is>
      </c>
      <c r="M211">
        <f>F211-G211</f>
        <v/>
      </c>
      <c r="N211" s="2">
        <f>M211/F211</f>
        <v/>
      </c>
      <c r="O211" s="2">
        <f>I211*J211/60/M211</f>
        <v/>
      </c>
      <c r="P211" s="2">
        <f>K211/J211</f>
        <v/>
      </c>
      <c r="Q211" s="2">
        <f>N211*O211*P211</f>
        <v/>
      </c>
    </row>
    <row r="212">
      <c r="A212" t="inlineStr">
        <is>
          <t>2026-07-09</t>
        </is>
      </c>
      <c r="B212" t="inlineStr">
        <is>
          <t>야간</t>
        </is>
      </c>
      <c r="C212" t="inlineStr">
        <is>
          <t>P4</t>
        </is>
      </c>
      <c r="D212" t="inlineStr">
        <is>
          <t>연삭</t>
        </is>
      </c>
      <c r="E212" t="inlineStr">
        <is>
          <t>GR-01</t>
        </is>
      </c>
      <c r="F212" t="n">
        <v>480</v>
      </c>
      <c r="G212" t="n">
        <v>65</v>
      </c>
      <c r="H212" t="inlineStr">
        <is>
          <t>공구 교체</t>
        </is>
      </c>
      <c r="I212" t="n">
        <v>6.2</v>
      </c>
      <c r="J212" t="n">
        <v>3678</v>
      </c>
      <c r="K212" t="n">
        <v>3636</v>
      </c>
      <c r="L212" t="inlineStr">
        <is>
          <t>L-0701</t>
        </is>
      </c>
      <c r="M212">
        <f>F212-G212</f>
        <v/>
      </c>
      <c r="N212" s="2">
        <f>M212/F212</f>
        <v/>
      </c>
      <c r="O212" s="2">
        <f>I212*J212/60/M212</f>
        <v/>
      </c>
      <c r="P212" s="2">
        <f>K212/J212</f>
        <v/>
      </c>
      <c r="Q212" s="2">
        <f>N212*O212*P212</f>
        <v/>
      </c>
    </row>
    <row r="213">
      <c r="A213" t="inlineStr">
        <is>
          <t>2026-07-09</t>
        </is>
      </c>
      <c r="B213" t="inlineStr">
        <is>
          <t>야간</t>
        </is>
      </c>
      <c r="C213" t="inlineStr">
        <is>
          <t>P4</t>
        </is>
      </c>
      <c r="D213" t="inlineStr">
        <is>
          <t>연삭</t>
        </is>
      </c>
      <c r="E213" t="inlineStr">
        <is>
          <t>GR-02</t>
        </is>
      </c>
      <c r="F213" t="n">
        <v>480</v>
      </c>
      <c r="G213" t="n">
        <v>66</v>
      </c>
      <c r="H213" t="inlineStr">
        <is>
          <t>공구 교체</t>
        </is>
      </c>
      <c r="I213" t="n">
        <v>6.2</v>
      </c>
      <c r="J213" t="n">
        <v>3553</v>
      </c>
      <c r="K213" t="n">
        <v>3522</v>
      </c>
      <c r="L213" t="inlineStr">
        <is>
          <t>L-0701</t>
        </is>
      </c>
      <c r="M213">
        <f>F213-G213</f>
        <v/>
      </c>
      <c r="N213" s="2">
        <f>M213/F213</f>
        <v/>
      </c>
      <c r="O213" s="2">
        <f>I213*J213/60/M213</f>
        <v/>
      </c>
      <c r="P213" s="2">
        <f>K213/J213</f>
        <v/>
      </c>
      <c r="Q213" s="2">
        <f>N213*O213*P213</f>
        <v/>
      </c>
    </row>
    <row r="214">
      <c r="A214" t="inlineStr">
        <is>
          <t>2026-07-09</t>
        </is>
      </c>
      <c r="B214" t="inlineStr">
        <is>
          <t>야간</t>
        </is>
      </c>
      <c r="C214" t="inlineStr">
        <is>
          <t>P5</t>
        </is>
      </c>
      <c r="D214" t="inlineStr">
        <is>
          <t>검사</t>
        </is>
      </c>
      <c r="E214" t="inlineStr">
        <is>
          <t>IN-01</t>
        </is>
      </c>
      <c r="F214" t="n">
        <v>480</v>
      </c>
      <c r="G214" t="n">
        <v>38</v>
      </c>
      <c r="H214" t="inlineStr">
        <is>
          <t>샘플 재검</t>
        </is>
      </c>
      <c r="I214" t="n">
        <v>5.5</v>
      </c>
      <c r="J214" t="n">
        <v>4365</v>
      </c>
      <c r="K214" t="n">
        <v>4347</v>
      </c>
      <c r="L214" t="inlineStr">
        <is>
          <t>L-0701</t>
        </is>
      </c>
      <c r="M214">
        <f>F214-G214</f>
        <v/>
      </c>
      <c r="N214" s="2">
        <f>M214/F214</f>
        <v/>
      </c>
      <c r="O214" s="2">
        <f>I214*J214/60/M214</f>
        <v/>
      </c>
      <c r="P214" s="2">
        <f>K214/J214</f>
        <v/>
      </c>
      <c r="Q214" s="2">
        <f>N214*O214*P214</f>
        <v/>
      </c>
    </row>
    <row r="215">
      <c r="A215" t="inlineStr">
        <is>
          <t>2026-07-09</t>
        </is>
      </c>
      <c r="B215" t="inlineStr">
        <is>
          <t>야간</t>
        </is>
      </c>
      <c r="C215" t="inlineStr">
        <is>
          <t>P5</t>
        </is>
      </c>
      <c r="D215" t="inlineStr">
        <is>
          <t>검사</t>
        </is>
      </c>
      <c r="E215" t="inlineStr">
        <is>
          <t>IN-02</t>
        </is>
      </c>
      <c r="F215" t="n">
        <v>480</v>
      </c>
      <c r="G215" t="n">
        <v>19</v>
      </c>
      <c r="H215" t="inlineStr">
        <is>
          <t>샘플 재검</t>
        </is>
      </c>
      <c r="I215" t="n">
        <v>5.5</v>
      </c>
      <c r="J215" t="n">
        <v>4786</v>
      </c>
      <c r="K215" t="n">
        <v>4766</v>
      </c>
      <c r="L215" t="inlineStr">
        <is>
          <t>L-0701</t>
        </is>
      </c>
      <c r="M215">
        <f>F215-G215</f>
        <v/>
      </c>
      <c r="N215" s="2">
        <f>M215/F215</f>
        <v/>
      </c>
      <c r="O215" s="2">
        <f>I215*J215/60/M215</f>
        <v/>
      </c>
      <c r="P215" s="2">
        <f>K215/J215</f>
        <v/>
      </c>
      <c r="Q215" s="2">
        <f>N215*O215*P215</f>
        <v/>
      </c>
    </row>
    <row r="216">
      <c r="A216" t="inlineStr">
        <is>
          <t>2026-07-09</t>
        </is>
      </c>
      <c r="B216" t="inlineStr">
        <is>
          <t>야간</t>
        </is>
      </c>
      <c r="C216" t="inlineStr">
        <is>
          <t>P6</t>
        </is>
      </c>
      <c r="D216" t="inlineStr">
        <is>
          <t>포장</t>
        </is>
      </c>
      <c r="E216" t="inlineStr">
        <is>
          <t>PK-01</t>
        </is>
      </c>
      <c r="F216" t="n">
        <v>480</v>
      </c>
      <c r="G216" t="n">
        <v>31</v>
      </c>
      <c r="H216" t="inlineStr">
        <is>
          <t>자재 대기</t>
        </is>
      </c>
      <c r="I216" t="n">
        <v>4.8</v>
      </c>
      <c r="J216" t="n">
        <v>5556</v>
      </c>
      <c r="K216" t="n">
        <v>5538</v>
      </c>
      <c r="L216" t="inlineStr">
        <is>
          <t>L-0701</t>
        </is>
      </c>
      <c r="M216">
        <f>F216-G216</f>
        <v/>
      </c>
      <c r="N216" s="2">
        <f>M216/F216</f>
        <v/>
      </c>
      <c r="O216" s="2">
        <f>I216*J216/60/M216</f>
        <v/>
      </c>
      <c r="P216" s="2">
        <f>K216/J216</f>
        <v/>
      </c>
      <c r="Q216" s="2">
        <f>N216*O216*P216</f>
        <v/>
      </c>
    </row>
    <row r="217">
      <c r="A217" t="inlineStr">
        <is>
          <t>2026-07-09</t>
        </is>
      </c>
      <c r="B217" t="inlineStr">
        <is>
          <t>야간</t>
        </is>
      </c>
      <c r="C217" t="inlineStr">
        <is>
          <t>P6</t>
        </is>
      </c>
      <c r="D217" t="inlineStr">
        <is>
          <t>포장</t>
        </is>
      </c>
      <c r="E217" t="inlineStr">
        <is>
          <t>PK-02</t>
        </is>
      </c>
      <c r="F217" t="n">
        <v>480</v>
      </c>
      <c r="G217" t="n">
        <v>21</v>
      </c>
      <c r="H217" t="inlineStr">
        <is>
          <t>라벨 교체</t>
        </is>
      </c>
      <c r="I217" t="n">
        <v>4.8</v>
      </c>
      <c r="J217" t="n">
        <v>5381</v>
      </c>
      <c r="K217" t="n">
        <v>5367</v>
      </c>
      <c r="L217" t="inlineStr">
        <is>
          <t>L-0701</t>
        </is>
      </c>
      <c r="M217">
        <f>F217-G217</f>
        <v/>
      </c>
      <c r="N217" s="2">
        <f>M217/F217</f>
        <v/>
      </c>
      <c r="O217" s="2">
        <f>I217*J217/60/M217</f>
        <v/>
      </c>
      <c r="P217" s="2">
        <f>K217/J217</f>
        <v/>
      </c>
      <c r="Q217" s="2">
        <f>N217*O217*P217</f>
        <v/>
      </c>
    </row>
    <row r="218">
      <c r="A218" t="inlineStr">
        <is>
          <t>2026-07-10</t>
        </is>
      </c>
      <c r="B218" t="inlineStr">
        <is>
          <t>주간</t>
        </is>
      </c>
      <c r="C218" t="inlineStr">
        <is>
          <t>P1</t>
        </is>
      </c>
      <c r="D218" t="inlineStr">
        <is>
          <t>원료혼합</t>
        </is>
      </c>
      <c r="E218" t="inlineStr">
        <is>
          <t>MX-01</t>
        </is>
      </c>
      <c r="F218" t="n">
        <v>480</v>
      </c>
      <c r="G218" t="n">
        <v>5</v>
      </c>
      <c r="H218" t="inlineStr">
        <is>
          <t>원료 대기</t>
        </is>
      </c>
      <c r="I218" t="n">
        <v>5</v>
      </c>
      <c r="J218" t="n">
        <v>5337</v>
      </c>
      <c r="K218" t="n">
        <v>5306</v>
      </c>
      <c r="L218" t="inlineStr">
        <is>
          <t>L-0701</t>
        </is>
      </c>
      <c r="M218">
        <f>F218-G218</f>
        <v/>
      </c>
      <c r="N218" s="2">
        <f>M218/F218</f>
        <v/>
      </c>
      <c r="O218" s="2">
        <f>I218*J218/60/M218</f>
        <v/>
      </c>
      <c r="P218" s="2">
        <f>K218/J218</f>
        <v/>
      </c>
      <c r="Q218" s="2">
        <f>N218*O218*P218</f>
        <v/>
      </c>
    </row>
    <row r="219">
      <c r="A219" t="inlineStr">
        <is>
          <t>2026-07-10</t>
        </is>
      </c>
      <c r="B219" t="inlineStr">
        <is>
          <t>주간</t>
        </is>
      </c>
      <c r="C219" t="inlineStr">
        <is>
          <t>P1</t>
        </is>
      </c>
      <c r="D219" t="inlineStr">
        <is>
          <t>원료혼합</t>
        </is>
      </c>
      <c r="E219" t="inlineStr">
        <is>
          <t>MX-02</t>
        </is>
      </c>
      <c r="F219" t="n">
        <v>480</v>
      </c>
      <c r="G219" t="n">
        <v>11</v>
      </c>
      <c r="H219" t="inlineStr">
        <is>
          <t>청소</t>
        </is>
      </c>
      <c r="I219" t="n">
        <v>5</v>
      </c>
      <c r="J219" t="n">
        <v>5196</v>
      </c>
      <c r="K219" t="n">
        <v>5165</v>
      </c>
      <c r="L219" t="inlineStr">
        <is>
          <t>L-0701</t>
        </is>
      </c>
      <c r="M219">
        <f>F219-G219</f>
        <v/>
      </c>
      <c r="N219" s="2">
        <f>M219/F219</f>
        <v/>
      </c>
      <c r="O219" s="2">
        <f>I219*J219/60/M219</f>
        <v/>
      </c>
      <c r="P219" s="2">
        <f>K219/J219</f>
        <v/>
      </c>
      <c r="Q219" s="2">
        <f>N219*O219*P219</f>
        <v/>
      </c>
    </row>
    <row r="220">
      <c r="A220" t="inlineStr">
        <is>
          <t>2026-07-10</t>
        </is>
      </c>
      <c r="B220" t="inlineStr">
        <is>
          <t>주간</t>
        </is>
      </c>
      <c r="C220" t="inlineStr">
        <is>
          <t>P2</t>
        </is>
      </c>
      <c r="D220" t="inlineStr">
        <is>
          <t>성형</t>
        </is>
      </c>
      <c r="E220" t="inlineStr">
        <is>
          <t>PR-01</t>
        </is>
      </c>
      <c r="F220" t="n">
        <v>480</v>
      </c>
      <c r="G220" t="n">
        <v>72</v>
      </c>
      <c r="H220" t="inlineStr">
        <is>
          <t>압력 이상</t>
        </is>
      </c>
      <c r="I220" t="n">
        <v>6</v>
      </c>
      <c r="J220" t="n">
        <v>4023</v>
      </c>
      <c r="K220" t="n">
        <v>3977</v>
      </c>
      <c r="L220" t="inlineStr">
        <is>
          <t>L-0701</t>
        </is>
      </c>
      <c r="M220">
        <f>F220-G220</f>
        <v/>
      </c>
      <c r="N220" s="2">
        <f>M220/F220</f>
        <v/>
      </c>
      <c r="O220" s="2">
        <f>I220*J220/60/M220</f>
        <v/>
      </c>
      <c r="P220" s="2">
        <f>K220/J220</f>
        <v/>
      </c>
      <c r="Q220" s="2">
        <f>N220*O220*P220</f>
        <v/>
      </c>
    </row>
    <row r="221">
      <c r="A221" t="inlineStr">
        <is>
          <t>2026-07-10</t>
        </is>
      </c>
      <c r="B221" t="inlineStr">
        <is>
          <t>주간</t>
        </is>
      </c>
      <c r="C221" t="inlineStr">
        <is>
          <t>P2</t>
        </is>
      </c>
      <c r="D221" t="inlineStr">
        <is>
          <t>성형</t>
        </is>
      </c>
      <c r="E221" t="inlineStr">
        <is>
          <t>PR-02</t>
        </is>
      </c>
      <c r="F221" t="n">
        <v>480</v>
      </c>
      <c r="G221" t="n">
        <v>23</v>
      </c>
      <c r="H221" t="inlineStr">
        <is>
          <t>금형 교체</t>
        </is>
      </c>
      <c r="I221" t="n">
        <v>6</v>
      </c>
      <c r="J221" t="n">
        <v>4404</v>
      </c>
      <c r="K221" t="n">
        <v>4358</v>
      </c>
      <c r="L221" t="inlineStr">
        <is>
          <t>L-0701</t>
        </is>
      </c>
      <c r="M221">
        <f>F221-G221</f>
        <v/>
      </c>
      <c r="N221" s="2">
        <f>M221/F221</f>
        <v/>
      </c>
      <c r="O221" s="2">
        <f>I221*J221/60/M221</f>
        <v/>
      </c>
      <c r="P221" s="2">
        <f>K221/J221</f>
        <v/>
      </c>
      <c r="Q221" s="2">
        <f>N221*O221*P221</f>
        <v/>
      </c>
    </row>
    <row r="222">
      <c r="A222" t="inlineStr">
        <is>
          <t>2026-07-10</t>
        </is>
      </c>
      <c r="B222" t="inlineStr">
        <is>
          <t>주간</t>
        </is>
      </c>
      <c r="C222" t="inlineStr">
        <is>
          <t>P3</t>
        </is>
      </c>
      <c r="D222" t="inlineStr">
        <is>
          <t>소결</t>
        </is>
      </c>
      <c r="E222" t="inlineStr">
        <is>
          <t>SF-01</t>
        </is>
      </c>
      <c r="F222" t="n">
        <v>480</v>
      </c>
      <c r="G222" t="n">
        <v>61</v>
      </c>
      <c r="H222" t="inlineStr">
        <is>
          <t>승온 대기</t>
        </is>
      </c>
      <c r="I222" t="n">
        <v>6.5</v>
      </c>
      <c r="J222" t="n">
        <v>3606</v>
      </c>
      <c r="K222" t="n">
        <v>3540</v>
      </c>
      <c r="L222" t="inlineStr">
        <is>
          <t>L-0701</t>
        </is>
      </c>
      <c r="M222">
        <f>F222-G222</f>
        <v/>
      </c>
      <c r="N222" s="2">
        <f>M222/F222</f>
        <v/>
      </c>
      <c r="O222" s="2">
        <f>I222*J222/60/M222</f>
        <v/>
      </c>
      <c r="P222" s="2">
        <f>K222/J222</f>
        <v/>
      </c>
      <c r="Q222" s="2">
        <f>N222*O222*P222</f>
        <v/>
      </c>
    </row>
    <row r="223">
      <c r="A223" t="inlineStr">
        <is>
          <t>2026-07-10</t>
        </is>
      </c>
      <c r="B223" t="inlineStr">
        <is>
          <t>주간</t>
        </is>
      </c>
      <c r="C223" t="inlineStr">
        <is>
          <t>P3</t>
        </is>
      </c>
      <c r="D223" t="inlineStr">
        <is>
          <t>소결</t>
        </is>
      </c>
      <c r="E223" t="inlineStr">
        <is>
          <t>SF-02</t>
        </is>
      </c>
      <c r="F223" t="n">
        <v>480</v>
      </c>
      <c r="G223" t="n">
        <v>39</v>
      </c>
      <c r="H223" t="inlineStr">
        <is>
          <t>온도 이상 정지</t>
        </is>
      </c>
      <c r="I223" t="n">
        <v>6.5</v>
      </c>
      <c r="J223" t="n">
        <v>3861</v>
      </c>
      <c r="K223" t="n">
        <v>3789</v>
      </c>
      <c r="L223" t="inlineStr">
        <is>
          <t>L-0701</t>
        </is>
      </c>
      <c r="M223">
        <f>F223-G223</f>
        <v/>
      </c>
      <c r="N223" s="2">
        <f>M223/F223</f>
        <v/>
      </c>
      <c r="O223" s="2">
        <f>I223*J223/60/M223</f>
        <v/>
      </c>
      <c r="P223" s="2">
        <f>K223/J223</f>
        <v/>
      </c>
      <c r="Q223" s="2">
        <f>N223*O223*P223</f>
        <v/>
      </c>
    </row>
    <row r="224">
      <c r="A224" t="inlineStr">
        <is>
          <t>2026-07-10</t>
        </is>
      </c>
      <c r="B224" t="inlineStr">
        <is>
          <t>주간</t>
        </is>
      </c>
      <c r="C224" t="inlineStr">
        <is>
          <t>P4</t>
        </is>
      </c>
      <c r="D224" t="inlineStr">
        <is>
          <t>연삭</t>
        </is>
      </c>
      <c r="E224" t="inlineStr">
        <is>
          <t>GR-01</t>
        </is>
      </c>
      <c r="F224" t="n">
        <v>480</v>
      </c>
      <c r="G224" t="n">
        <v>61</v>
      </c>
      <c r="H224" t="inlineStr">
        <is>
          <t>공구 교체</t>
        </is>
      </c>
      <c r="I224" t="n">
        <v>6.2</v>
      </c>
      <c r="J224" t="n">
        <v>3637</v>
      </c>
      <c r="K224" t="n">
        <v>3605</v>
      </c>
      <c r="L224" t="inlineStr">
        <is>
          <t>L-0701</t>
        </is>
      </c>
      <c r="M224">
        <f>F224-G224</f>
        <v/>
      </c>
      <c r="N224" s="2">
        <f>M224/F224</f>
        <v/>
      </c>
      <c r="O224" s="2">
        <f>I224*J224/60/M224</f>
        <v/>
      </c>
      <c r="P224" s="2">
        <f>K224/J224</f>
        <v/>
      </c>
      <c r="Q224" s="2">
        <f>N224*O224*P224</f>
        <v/>
      </c>
    </row>
    <row r="225">
      <c r="A225" t="inlineStr">
        <is>
          <t>2026-07-10</t>
        </is>
      </c>
      <c r="B225" t="inlineStr">
        <is>
          <t>주간</t>
        </is>
      </c>
      <c r="C225" t="inlineStr">
        <is>
          <t>P4</t>
        </is>
      </c>
      <c r="D225" t="inlineStr">
        <is>
          <t>연삭</t>
        </is>
      </c>
      <c r="E225" t="inlineStr">
        <is>
          <t>GR-02</t>
        </is>
      </c>
      <c r="F225" t="n">
        <v>480</v>
      </c>
      <c r="G225" t="n">
        <v>77</v>
      </c>
      <c r="H225" t="inlineStr">
        <is>
          <t>드레싱</t>
        </is>
      </c>
      <c r="I225" t="n">
        <v>6.2</v>
      </c>
      <c r="J225" t="n">
        <v>3569</v>
      </c>
      <c r="K225" t="n">
        <v>3534</v>
      </c>
      <c r="L225" t="inlineStr">
        <is>
          <t>L-0701</t>
        </is>
      </c>
      <c r="M225">
        <f>F225-G225</f>
        <v/>
      </c>
      <c r="N225" s="2">
        <f>M225/F225</f>
        <v/>
      </c>
      <c r="O225" s="2">
        <f>I225*J225/60/M225</f>
        <v/>
      </c>
      <c r="P225" s="2">
        <f>K225/J225</f>
        <v/>
      </c>
      <c r="Q225" s="2">
        <f>N225*O225*P225</f>
        <v/>
      </c>
    </row>
    <row r="226">
      <c r="A226" t="inlineStr">
        <is>
          <t>2026-07-10</t>
        </is>
      </c>
      <c r="B226" t="inlineStr">
        <is>
          <t>주간</t>
        </is>
      </c>
      <c r="C226" t="inlineStr">
        <is>
          <t>P5</t>
        </is>
      </c>
      <c r="D226" t="inlineStr">
        <is>
          <t>검사</t>
        </is>
      </c>
      <c r="E226" t="inlineStr">
        <is>
          <t>IN-01</t>
        </is>
      </c>
      <c r="F226" t="n">
        <v>480</v>
      </c>
      <c r="G226" t="n">
        <v>6</v>
      </c>
      <c r="H226" t="inlineStr">
        <is>
          <t>측정기 교정</t>
        </is>
      </c>
      <c r="I226" t="n">
        <v>5.5</v>
      </c>
      <c r="J226" t="n">
        <v>5096</v>
      </c>
      <c r="K226" t="n">
        <v>5079</v>
      </c>
      <c r="L226" t="inlineStr">
        <is>
          <t>L-0701</t>
        </is>
      </c>
      <c r="M226">
        <f>F226-G226</f>
        <v/>
      </c>
      <c r="N226" s="2">
        <f>M226/F226</f>
        <v/>
      </c>
      <c r="O226" s="2">
        <f>I226*J226/60/M226</f>
        <v/>
      </c>
      <c r="P226" s="2">
        <f>K226/J226</f>
        <v/>
      </c>
      <c r="Q226" s="2">
        <f>N226*O226*P226</f>
        <v/>
      </c>
    </row>
    <row r="227">
      <c r="A227" t="inlineStr">
        <is>
          <t>2026-07-10</t>
        </is>
      </c>
      <c r="B227" t="inlineStr">
        <is>
          <t>주간</t>
        </is>
      </c>
      <c r="C227" t="inlineStr">
        <is>
          <t>P5</t>
        </is>
      </c>
      <c r="D227" t="inlineStr">
        <is>
          <t>검사</t>
        </is>
      </c>
      <c r="E227" t="inlineStr">
        <is>
          <t>IN-02</t>
        </is>
      </c>
      <c r="F227" t="n">
        <v>480</v>
      </c>
      <c r="G227" t="n">
        <v>39</v>
      </c>
      <c r="H227" t="inlineStr">
        <is>
          <t>측정기 교정</t>
        </is>
      </c>
      <c r="I227" t="n">
        <v>5.5</v>
      </c>
      <c r="J227" t="n">
        <v>4621</v>
      </c>
      <c r="K227" t="n">
        <v>4607</v>
      </c>
      <c r="L227" t="inlineStr">
        <is>
          <t>L-0701</t>
        </is>
      </c>
      <c r="M227">
        <f>F227-G227</f>
        <v/>
      </c>
      <c r="N227" s="2">
        <f>M227/F227</f>
        <v/>
      </c>
      <c r="O227" s="2">
        <f>I227*J227/60/M227</f>
        <v/>
      </c>
      <c r="P227" s="2">
        <f>K227/J227</f>
        <v/>
      </c>
      <c r="Q227" s="2">
        <f>N227*O227*P227</f>
        <v/>
      </c>
    </row>
    <row r="228">
      <c r="A228" t="inlineStr">
        <is>
          <t>2026-07-10</t>
        </is>
      </c>
      <c r="B228" t="inlineStr">
        <is>
          <t>주간</t>
        </is>
      </c>
      <c r="C228" t="inlineStr">
        <is>
          <t>P6</t>
        </is>
      </c>
      <c r="D228" t="inlineStr">
        <is>
          <t>포장</t>
        </is>
      </c>
      <c r="E228" t="inlineStr">
        <is>
          <t>PK-01</t>
        </is>
      </c>
      <c r="F228" t="n">
        <v>480</v>
      </c>
      <c r="G228" t="n">
        <v>49</v>
      </c>
      <c r="H228" t="inlineStr">
        <is>
          <t>라벨 교체</t>
        </is>
      </c>
      <c r="I228" t="n">
        <v>4.8</v>
      </c>
      <c r="J228" t="n">
        <v>5083</v>
      </c>
      <c r="K228" t="n">
        <v>5072</v>
      </c>
      <c r="L228" t="inlineStr">
        <is>
          <t>L-0701</t>
        </is>
      </c>
      <c r="M228">
        <f>F228-G228</f>
        <v/>
      </c>
      <c r="N228" s="2">
        <f>M228/F228</f>
        <v/>
      </c>
      <c r="O228" s="2">
        <f>I228*J228/60/M228</f>
        <v/>
      </c>
      <c r="P228" s="2">
        <f>K228/J228</f>
        <v/>
      </c>
      <c r="Q228" s="2">
        <f>N228*O228*P228</f>
        <v/>
      </c>
    </row>
    <row r="229">
      <c r="A229" t="inlineStr">
        <is>
          <t>2026-07-10</t>
        </is>
      </c>
      <c r="B229" t="inlineStr">
        <is>
          <t>주간</t>
        </is>
      </c>
      <c r="C229" t="inlineStr">
        <is>
          <t>P6</t>
        </is>
      </c>
      <c r="D229" t="inlineStr">
        <is>
          <t>포장</t>
        </is>
      </c>
      <c r="E229" t="inlineStr">
        <is>
          <t>PK-02</t>
        </is>
      </c>
      <c r="F229" t="n">
        <v>480</v>
      </c>
      <c r="G229" t="n">
        <v>29</v>
      </c>
      <c r="H229" t="inlineStr">
        <is>
          <t>라벨 교체</t>
        </is>
      </c>
      <c r="I229" t="n">
        <v>4.8</v>
      </c>
      <c r="J229" t="n">
        <v>5157</v>
      </c>
      <c r="K229" t="n">
        <v>5147</v>
      </c>
      <c r="L229" t="inlineStr">
        <is>
          <t>L-0701</t>
        </is>
      </c>
      <c r="M229">
        <f>F229-G229</f>
        <v/>
      </c>
      <c r="N229" s="2">
        <f>M229/F229</f>
        <v/>
      </c>
      <c r="O229" s="2">
        <f>I229*J229/60/M229</f>
        <v/>
      </c>
      <c r="P229" s="2">
        <f>K229/J229</f>
        <v/>
      </c>
      <c r="Q229" s="2">
        <f>N229*O229*P229</f>
        <v/>
      </c>
    </row>
    <row r="230">
      <c r="A230" t="inlineStr">
        <is>
          <t>2026-07-10</t>
        </is>
      </c>
      <c r="B230" t="inlineStr">
        <is>
          <t>야간</t>
        </is>
      </c>
      <c r="C230" t="inlineStr">
        <is>
          <t>P1</t>
        </is>
      </c>
      <c r="D230" t="inlineStr">
        <is>
          <t>원료혼합</t>
        </is>
      </c>
      <c r="E230" t="inlineStr">
        <is>
          <t>MX-01</t>
        </is>
      </c>
      <c r="F230" t="n">
        <v>480</v>
      </c>
      <c r="G230" t="n">
        <v>20</v>
      </c>
      <c r="H230" t="inlineStr">
        <is>
          <t>청소</t>
        </is>
      </c>
      <c r="I230" t="n">
        <v>5</v>
      </c>
      <c r="J230" t="n">
        <v>4822</v>
      </c>
      <c r="K230" t="n">
        <v>4787</v>
      </c>
      <c r="L230" t="inlineStr">
        <is>
          <t>L-0701</t>
        </is>
      </c>
      <c r="M230">
        <f>F230-G230</f>
        <v/>
      </c>
      <c r="N230" s="2">
        <f>M230/F230</f>
        <v/>
      </c>
      <c r="O230" s="2">
        <f>I230*J230/60/M230</f>
        <v/>
      </c>
      <c r="P230" s="2">
        <f>K230/J230</f>
        <v/>
      </c>
      <c r="Q230" s="2">
        <f>N230*O230*P230</f>
        <v/>
      </c>
    </row>
    <row r="231">
      <c r="A231" t="inlineStr">
        <is>
          <t>2026-07-10</t>
        </is>
      </c>
      <c r="B231" t="inlineStr">
        <is>
          <t>야간</t>
        </is>
      </c>
      <c r="C231" t="inlineStr">
        <is>
          <t>P1</t>
        </is>
      </c>
      <c r="D231" t="inlineStr">
        <is>
          <t>원료혼합</t>
        </is>
      </c>
      <c r="E231" t="inlineStr">
        <is>
          <t>MX-02</t>
        </is>
      </c>
      <c r="F231" t="n">
        <v>480</v>
      </c>
      <c r="G231" t="n">
        <v>12</v>
      </c>
      <c r="H231" t="inlineStr">
        <is>
          <t>청소</t>
        </is>
      </c>
      <c r="I231" t="n">
        <v>5</v>
      </c>
      <c r="J231" t="n">
        <v>4949</v>
      </c>
      <c r="K231" t="n">
        <v>4915</v>
      </c>
      <c r="L231" t="inlineStr">
        <is>
          <t>L-0701</t>
        </is>
      </c>
      <c r="M231">
        <f>F231-G231</f>
        <v/>
      </c>
      <c r="N231" s="2">
        <f>M231/F231</f>
        <v/>
      </c>
      <c r="O231" s="2">
        <f>I231*J231/60/M231</f>
        <v/>
      </c>
      <c r="P231" s="2">
        <f>K231/J231</f>
        <v/>
      </c>
      <c r="Q231" s="2">
        <f>N231*O231*P231</f>
        <v/>
      </c>
    </row>
    <row r="232">
      <c r="A232" t="inlineStr">
        <is>
          <t>2026-07-10</t>
        </is>
      </c>
      <c r="B232" t="inlineStr">
        <is>
          <t>야간</t>
        </is>
      </c>
      <c r="C232" t="inlineStr">
        <is>
          <t>P2</t>
        </is>
      </c>
      <c r="D232" t="inlineStr">
        <is>
          <t>성형</t>
        </is>
      </c>
      <c r="E232" t="inlineStr">
        <is>
          <t>PR-01</t>
        </is>
      </c>
      <c r="F232" t="n">
        <v>480</v>
      </c>
      <c r="G232" t="n">
        <v>12</v>
      </c>
      <c r="H232" t="inlineStr">
        <is>
          <t>압력 이상</t>
        </is>
      </c>
      <c r="I232" t="n">
        <v>6</v>
      </c>
      <c r="J232" t="n">
        <v>4205</v>
      </c>
      <c r="K232" t="n">
        <v>4148</v>
      </c>
      <c r="L232" t="inlineStr">
        <is>
          <t>L-0701</t>
        </is>
      </c>
      <c r="M232">
        <f>F232-G232</f>
        <v/>
      </c>
      <c r="N232" s="2">
        <f>M232/F232</f>
        <v/>
      </c>
      <c r="O232" s="2">
        <f>I232*J232/60/M232</f>
        <v/>
      </c>
      <c r="P232" s="2">
        <f>K232/J232</f>
        <v/>
      </c>
      <c r="Q232" s="2">
        <f>N232*O232*P232</f>
        <v/>
      </c>
    </row>
    <row r="233">
      <c r="A233" t="inlineStr">
        <is>
          <t>2026-07-10</t>
        </is>
      </c>
      <c r="B233" t="inlineStr">
        <is>
          <t>야간</t>
        </is>
      </c>
      <c r="C233" t="inlineStr">
        <is>
          <t>P2</t>
        </is>
      </c>
      <c r="D233" t="inlineStr">
        <is>
          <t>성형</t>
        </is>
      </c>
      <c r="E233" t="inlineStr">
        <is>
          <t>PR-02</t>
        </is>
      </c>
      <c r="F233" t="n">
        <v>480</v>
      </c>
      <c r="G233" t="n">
        <v>22</v>
      </c>
      <c r="H233" t="inlineStr">
        <is>
          <t>압력 이상</t>
        </is>
      </c>
      <c r="I233" t="n">
        <v>6</v>
      </c>
      <c r="J233" t="n">
        <v>4277</v>
      </c>
      <c r="K233" t="n">
        <v>4231</v>
      </c>
      <c r="L233" t="inlineStr">
        <is>
          <t>L-0701</t>
        </is>
      </c>
      <c r="M233">
        <f>F233-G233</f>
        <v/>
      </c>
      <c r="N233" s="2">
        <f>M233/F233</f>
        <v/>
      </c>
      <c r="O233" s="2">
        <f>I233*J233/60/M233</f>
        <v/>
      </c>
      <c r="P233" s="2">
        <f>K233/J233</f>
        <v/>
      </c>
      <c r="Q233" s="2">
        <f>N233*O233*P233</f>
        <v/>
      </c>
    </row>
    <row r="234">
      <c r="A234" t="inlineStr">
        <is>
          <t>2026-07-10</t>
        </is>
      </c>
      <c r="B234" t="inlineStr">
        <is>
          <t>야간</t>
        </is>
      </c>
      <c r="C234" t="inlineStr">
        <is>
          <t>P3</t>
        </is>
      </c>
      <c r="D234" t="inlineStr">
        <is>
          <t>소결</t>
        </is>
      </c>
      <c r="E234" t="inlineStr">
        <is>
          <t>SF-01</t>
        </is>
      </c>
      <c r="F234" t="n">
        <v>480</v>
      </c>
      <c r="G234" t="n">
        <v>41</v>
      </c>
      <c r="H234" t="inlineStr">
        <is>
          <t>승온 대기</t>
        </is>
      </c>
      <c r="I234" t="n">
        <v>6.5</v>
      </c>
      <c r="J234" t="n">
        <v>3730</v>
      </c>
      <c r="K234" t="n">
        <v>3668</v>
      </c>
      <c r="L234" t="inlineStr">
        <is>
          <t>L-0701</t>
        </is>
      </c>
      <c r="M234">
        <f>F234-G234</f>
        <v/>
      </c>
      <c r="N234" s="2">
        <f>M234/F234</f>
        <v/>
      </c>
      <c r="O234" s="2">
        <f>I234*J234/60/M234</f>
        <v/>
      </c>
      <c r="P234" s="2">
        <f>K234/J234</f>
        <v/>
      </c>
      <c r="Q234" s="2">
        <f>N234*O234*P234</f>
        <v/>
      </c>
    </row>
    <row r="235">
      <c r="A235" t="inlineStr">
        <is>
          <t>2026-07-10</t>
        </is>
      </c>
      <c r="B235" t="inlineStr">
        <is>
          <t>야간</t>
        </is>
      </c>
      <c r="C235" t="inlineStr">
        <is>
          <t>P3</t>
        </is>
      </c>
      <c r="D235" t="inlineStr">
        <is>
          <t>소결</t>
        </is>
      </c>
      <c r="E235" t="inlineStr">
        <is>
          <t>SF-02</t>
        </is>
      </c>
      <c r="F235" t="n">
        <v>480</v>
      </c>
      <c r="G235" t="n">
        <v>51</v>
      </c>
      <c r="H235" t="inlineStr">
        <is>
          <t>재가열</t>
        </is>
      </c>
      <c r="I235" t="n">
        <v>6.5</v>
      </c>
      <c r="J235" t="n">
        <v>3810</v>
      </c>
      <c r="K235" t="n">
        <v>3733</v>
      </c>
      <c r="L235" t="inlineStr">
        <is>
          <t>L-0701</t>
        </is>
      </c>
      <c r="M235">
        <f>F235-G235</f>
        <v/>
      </c>
      <c r="N235" s="2">
        <f>M235/F235</f>
        <v/>
      </c>
      <c r="O235" s="2">
        <f>I235*J235/60/M235</f>
        <v/>
      </c>
      <c r="P235" s="2">
        <f>K235/J235</f>
        <v/>
      </c>
      <c r="Q235" s="2">
        <f>N235*O235*P235</f>
        <v/>
      </c>
    </row>
    <row r="236">
      <c r="A236" t="inlineStr">
        <is>
          <t>2026-07-10</t>
        </is>
      </c>
      <c r="B236" t="inlineStr">
        <is>
          <t>야간</t>
        </is>
      </c>
      <c r="C236" t="inlineStr">
        <is>
          <t>P4</t>
        </is>
      </c>
      <c r="D236" t="inlineStr">
        <is>
          <t>연삭</t>
        </is>
      </c>
      <c r="E236" t="inlineStr">
        <is>
          <t>GR-01</t>
        </is>
      </c>
      <c r="F236" t="n">
        <v>480</v>
      </c>
      <c r="G236" t="n">
        <v>47</v>
      </c>
      <c r="H236" t="inlineStr">
        <is>
          <t>공구 교체</t>
        </is>
      </c>
      <c r="I236" t="n">
        <v>6.2</v>
      </c>
      <c r="J236" t="n">
        <v>3781</v>
      </c>
      <c r="K236" t="n">
        <v>3729</v>
      </c>
      <c r="L236" t="inlineStr">
        <is>
          <t>L-0701</t>
        </is>
      </c>
      <c r="M236">
        <f>F236-G236</f>
        <v/>
      </c>
      <c r="N236" s="2">
        <f>M236/F236</f>
        <v/>
      </c>
      <c r="O236" s="2">
        <f>I236*J236/60/M236</f>
        <v/>
      </c>
      <c r="P236" s="2">
        <f>K236/J236</f>
        <v/>
      </c>
      <c r="Q236" s="2">
        <f>N236*O236*P236</f>
        <v/>
      </c>
    </row>
    <row r="237">
      <c r="A237" t="inlineStr">
        <is>
          <t>2026-07-10</t>
        </is>
      </c>
      <c r="B237" t="inlineStr">
        <is>
          <t>야간</t>
        </is>
      </c>
      <c r="C237" t="inlineStr">
        <is>
          <t>P4</t>
        </is>
      </c>
      <c r="D237" t="inlineStr">
        <is>
          <t>연삭</t>
        </is>
      </c>
      <c r="E237" t="inlineStr">
        <is>
          <t>GR-02</t>
        </is>
      </c>
      <c r="F237" t="n">
        <v>480</v>
      </c>
      <c r="G237" t="n">
        <v>39</v>
      </c>
      <c r="H237" t="inlineStr">
        <is>
          <t>드레싱</t>
        </is>
      </c>
      <c r="I237" t="n">
        <v>6.2</v>
      </c>
      <c r="J237" t="n">
        <v>4046</v>
      </c>
      <c r="K237" t="n">
        <v>4002</v>
      </c>
      <c r="L237" t="inlineStr">
        <is>
          <t>L-0701</t>
        </is>
      </c>
      <c r="M237">
        <f>F237-G237</f>
        <v/>
      </c>
      <c r="N237" s="2">
        <f>M237/F237</f>
        <v/>
      </c>
      <c r="O237" s="2">
        <f>I237*J237/60/M237</f>
        <v/>
      </c>
      <c r="P237" s="2">
        <f>K237/J237</f>
        <v/>
      </c>
      <c r="Q237" s="2">
        <f>N237*O237*P237</f>
        <v/>
      </c>
    </row>
    <row r="238">
      <c r="A238" t="inlineStr">
        <is>
          <t>2026-07-10</t>
        </is>
      </c>
      <c r="B238" t="inlineStr">
        <is>
          <t>야간</t>
        </is>
      </c>
      <c r="C238" t="inlineStr">
        <is>
          <t>P5</t>
        </is>
      </c>
      <c r="D238" t="inlineStr">
        <is>
          <t>검사</t>
        </is>
      </c>
      <c r="E238" t="inlineStr">
        <is>
          <t>IN-01</t>
        </is>
      </c>
      <c r="F238" t="n">
        <v>480</v>
      </c>
      <c r="G238" t="n">
        <v>53</v>
      </c>
      <c r="H238" t="inlineStr">
        <is>
          <t>샘플 재검</t>
        </is>
      </c>
      <c r="I238" t="n">
        <v>5.5</v>
      </c>
      <c r="J238" t="n">
        <v>4411</v>
      </c>
      <c r="K238" t="n">
        <v>4398</v>
      </c>
      <c r="L238" t="inlineStr">
        <is>
          <t>L-0701</t>
        </is>
      </c>
      <c r="M238">
        <f>F238-G238</f>
        <v/>
      </c>
      <c r="N238" s="2">
        <f>M238/F238</f>
        <v/>
      </c>
      <c r="O238" s="2">
        <f>I238*J238/60/M238</f>
        <v/>
      </c>
      <c r="P238" s="2">
        <f>K238/J238</f>
        <v/>
      </c>
      <c r="Q238" s="2">
        <f>N238*O238*P238</f>
        <v/>
      </c>
    </row>
    <row r="239">
      <c r="A239" t="inlineStr">
        <is>
          <t>2026-07-10</t>
        </is>
      </c>
      <c r="B239" t="inlineStr">
        <is>
          <t>야간</t>
        </is>
      </c>
      <c r="C239" t="inlineStr">
        <is>
          <t>P5</t>
        </is>
      </c>
      <c r="D239" t="inlineStr">
        <is>
          <t>검사</t>
        </is>
      </c>
      <c r="E239" t="inlineStr">
        <is>
          <t>IN-02</t>
        </is>
      </c>
      <c r="F239" t="n">
        <v>480</v>
      </c>
      <c r="G239" t="n">
        <v>18</v>
      </c>
      <c r="H239" t="inlineStr">
        <is>
          <t>샘플 재검</t>
        </is>
      </c>
      <c r="I239" t="n">
        <v>5.5</v>
      </c>
      <c r="J239" t="n">
        <v>4660</v>
      </c>
      <c r="K239" t="n">
        <v>4640</v>
      </c>
      <c r="L239" t="inlineStr">
        <is>
          <t>L-0701</t>
        </is>
      </c>
      <c r="M239">
        <f>F239-G239</f>
        <v/>
      </c>
      <c r="N239" s="2">
        <f>M239/F239</f>
        <v/>
      </c>
      <c r="O239" s="2">
        <f>I239*J239/60/M239</f>
        <v/>
      </c>
      <c r="P239" s="2">
        <f>K239/J239</f>
        <v/>
      </c>
      <c r="Q239" s="2">
        <f>N239*O239*P239</f>
        <v/>
      </c>
    </row>
    <row r="240">
      <c r="A240" t="inlineStr">
        <is>
          <t>2026-07-10</t>
        </is>
      </c>
      <c r="B240" t="inlineStr">
        <is>
          <t>야간</t>
        </is>
      </c>
      <c r="C240" t="inlineStr">
        <is>
          <t>P6</t>
        </is>
      </c>
      <c r="D240" t="inlineStr">
        <is>
          <t>포장</t>
        </is>
      </c>
      <c r="E240" t="inlineStr">
        <is>
          <t>PK-01</t>
        </is>
      </c>
      <c r="F240" t="n">
        <v>480</v>
      </c>
      <c r="G240" t="n">
        <v>17</v>
      </c>
      <c r="H240" t="inlineStr">
        <is>
          <t>자재 대기</t>
        </is>
      </c>
      <c r="I240" t="n">
        <v>4.8</v>
      </c>
      <c r="J240" t="n">
        <v>5433</v>
      </c>
      <c r="K240" t="n">
        <v>5417</v>
      </c>
      <c r="L240" t="inlineStr">
        <is>
          <t>L-0701</t>
        </is>
      </c>
      <c r="M240">
        <f>F240-G240</f>
        <v/>
      </c>
      <c r="N240" s="2">
        <f>M240/F240</f>
        <v/>
      </c>
      <c r="O240" s="2">
        <f>I240*J240/60/M240</f>
        <v/>
      </c>
      <c r="P240" s="2">
        <f>K240/J240</f>
        <v/>
      </c>
      <c r="Q240" s="2">
        <f>N240*O240*P240</f>
        <v/>
      </c>
    </row>
    <row r="241">
      <c r="A241" t="inlineStr">
        <is>
          <t>2026-07-10</t>
        </is>
      </c>
      <c r="B241" t="inlineStr">
        <is>
          <t>야간</t>
        </is>
      </c>
      <c r="C241" t="inlineStr">
        <is>
          <t>P6</t>
        </is>
      </c>
      <c r="D241" t="inlineStr">
        <is>
          <t>포장</t>
        </is>
      </c>
      <c r="E241" t="inlineStr">
        <is>
          <t>PK-02</t>
        </is>
      </c>
      <c r="F241" t="n">
        <v>480</v>
      </c>
      <c r="G241" t="n">
        <v>7</v>
      </c>
      <c r="H241" t="inlineStr">
        <is>
          <t>자재 대기</t>
        </is>
      </c>
      <c r="I241" t="n">
        <v>4.8</v>
      </c>
      <c r="J241" t="n">
        <v>5332</v>
      </c>
      <c r="K241" t="n">
        <v>5318</v>
      </c>
      <c r="L241" t="inlineStr">
        <is>
          <t>L-0701</t>
        </is>
      </c>
      <c r="M241">
        <f>F241-G241</f>
        <v/>
      </c>
      <c r="N241" s="2">
        <f>M241/F241</f>
        <v/>
      </c>
      <c r="O241" s="2">
        <f>I241*J241/60/M241</f>
        <v/>
      </c>
      <c r="P241" s="2">
        <f>K241/J241</f>
        <v/>
      </c>
      <c r="Q241" s="2">
        <f>N241*O241*P241</f>
        <v/>
      </c>
    </row>
    <row r="242">
      <c r="A242" t="inlineStr">
        <is>
          <t>2026-07-11</t>
        </is>
      </c>
      <c r="B242" t="inlineStr">
        <is>
          <t>주간</t>
        </is>
      </c>
      <c r="C242" t="inlineStr">
        <is>
          <t>P1</t>
        </is>
      </c>
      <c r="D242" t="inlineStr">
        <is>
          <t>원료혼합</t>
        </is>
      </c>
      <c r="E242" t="inlineStr">
        <is>
          <t>MX-01</t>
        </is>
      </c>
      <c r="F242" t="n">
        <v>480</v>
      </c>
      <c r="G242" t="n">
        <v>14</v>
      </c>
      <c r="H242" t="inlineStr">
        <is>
          <t>청소</t>
        </is>
      </c>
      <c r="I242" t="n">
        <v>5</v>
      </c>
      <c r="J242" t="n">
        <v>5168</v>
      </c>
      <c r="K242" t="n">
        <v>5140</v>
      </c>
      <c r="L242" t="inlineStr">
        <is>
          <t>L-0701</t>
        </is>
      </c>
      <c r="M242">
        <f>F242-G242</f>
        <v/>
      </c>
      <c r="N242" s="2">
        <f>M242/F242</f>
        <v/>
      </c>
      <c r="O242" s="2">
        <f>I242*J242/60/M242</f>
        <v/>
      </c>
      <c r="P242" s="2">
        <f>K242/J242</f>
        <v/>
      </c>
      <c r="Q242" s="2">
        <f>N242*O242*P242</f>
        <v/>
      </c>
    </row>
    <row r="243">
      <c r="A243" t="inlineStr">
        <is>
          <t>2026-07-11</t>
        </is>
      </c>
      <c r="B243" t="inlineStr">
        <is>
          <t>주간</t>
        </is>
      </c>
      <c r="C243" t="inlineStr">
        <is>
          <t>P1</t>
        </is>
      </c>
      <c r="D243" t="inlineStr">
        <is>
          <t>원료혼합</t>
        </is>
      </c>
      <c r="E243" t="inlineStr">
        <is>
          <t>MX-02</t>
        </is>
      </c>
      <c r="F243" t="n">
        <v>480</v>
      </c>
      <c r="G243" t="n">
        <v>21</v>
      </c>
      <c r="H243" t="inlineStr">
        <is>
          <t>원료 대기</t>
        </is>
      </c>
      <c r="I243" t="n">
        <v>5</v>
      </c>
      <c r="J243" t="n">
        <v>5247</v>
      </c>
      <c r="K243" t="n">
        <v>5224</v>
      </c>
      <c r="L243" t="inlineStr">
        <is>
          <t>L-0701</t>
        </is>
      </c>
      <c r="M243">
        <f>F243-G243</f>
        <v/>
      </c>
      <c r="N243" s="2">
        <f>M243/F243</f>
        <v/>
      </c>
      <c r="O243" s="2">
        <f>I243*J243/60/M243</f>
        <v/>
      </c>
      <c r="P243" s="2">
        <f>K243/J243</f>
        <v/>
      </c>
      <c r="Q243" s="2">
        <f>N243*O243*P243</f>
        <v/>
      </c>
    </row>
    <row r="244">
      <c r="A244" t="inlineStr">
        <is>
          <t>2026-07-11</t>
        </is>
      </c>
      <c r="B244" t="inlineStr">
        <is>
          <t>주간</t>
        </is>
      </c>
      <c r="C244" t="inlineStr">
        <is>
          <t>P2</t>
        </is>
      </c>
      <c r="D244" t="inlineStr">
        <is>
          <t>성형</t>
        </is>
      </c>
      <c r="E244" t="inlineStr">
        <is>
          <t>PR-01</t>
        </is>
      </c>
      <c r="F244" t="n">
        <v>480</v>
      </c>
      <c r="G244" t="n">
        <v>17</v>
      </c>
      <c r="H244" t="inlineStr">
        <is>
          <t>분말 공급 지연</t>
        </is>
      </c>
      <c r="I244" t="n">
        <v>6</v>
      </c>
      <c r="J244" t="n">
        <v>4211</v>
      </c>
      <c r="K244" t="n">
        <v>4163</v>
      </c>
      <c r="L244" t="inlineStr">
        <is>
          <t>L-0701</t>
        </is>
      </c>
      <c r="M244">
        <f>F244-G244</f>
        <v/>
      </c>
      <c r="N244" s="2">
        <f>M244/F244</f>
        <v/>
      </c>
      <c r="O244" s="2">
        <f>I244*J244/60/M244</f>
        <v/>
      </c>
      <c r="P244" s="2">
        <f>K244/J244</f>
        <v/>
      </c>
      <c r="Q244" s="2">
        <f>N244*O244*P244</f>
        <v/>
      </c>
    </row>
    <row r="245">
      <c r="A245" t="inlineStr">
        <is>
          <t>2026-07-11</t>
        </is>
      </c>
      <c r="B245" t="inlineStr">
        <is>
          <t>주간</t>
        </is>
      </c>
      <c r="C245" t="inlineStr">
        <is>
          <t>P2</t>
        </is>
      </c>
      <c r="D245" t="inlineStr">
        <is>
          <t>성형</t>
        </is>
      </c>
      <c r="E245" t="inlineStr">
        <is>
          <t>PR-02</t>
        </is>
      </c>
      <c r="F245" t="n">
        <v>480</v>
      </c>
      <c r="G245" t="n">
        <v>8</v>
      </c>
      <c r="H245" t="inlineStr">
        <is>
          <t>압력 이상</t>
        </is>
      </c>
      <c r="I245" t="n">
        <v>6</v>
      </c>
      <c r="J245" t="n">
        <v>4534</v>
      </c>
      <c r="K245" t="n">
        <v>4489</v>
      </c>
      <c r="L245" t="inlineStr">
        <is>
          <t>L-0701</t>
        </is>
      </c>
      <c r="M245">
        <f>F245-G245</f>
        <v/>
      </c>
      <c r="N245" s="2">
        <f>M245/F245</f>
        <v/>
      </c>
      <c r="O245" s="2">
        <f>I245*J245/60/M245</f>
        <v/>
      </c>
      <c r="P245" s="2">
        <f>K245/J245</f>
        <v/>
      </c>
      <c r="Q245" s="2">
        <f>N245*O245*P245</f>
        <v/>
      </c>
    </row>
    <row r="246">
      <c r="A246" t="inlineStr">
        <is>
          <t>2026-07-11</t>
        </is>
      </c>
      <c r="B246" t="inlineStr">
        <is>
          <t>주간</t>
        </is>
      </c>
      <c r="C246" t="inlineStr">
        <is>
          <t>P3</t>
        </is>
      </c>
      <c r="D246" t="inlineStr">
        <is>
          <t>소결</t>
        </is>
      </c>
      <c r="E246" t="inlineStr">
        <is>
          <t>SF-01</t>
        </is>
      </c>
      <c r="F246" t="n">
        <v>480</v>
      </c>
      <c r="G246" t="n">
        <v>30</v>
      </c>
      <c r="H246" t="inlineStr">
        <is>
          <t>재가열</t>
        </is>
      </c>
      <c r="I246" t="n">
        <v>6.5</v>
      </c>
      <c r="J246" t="n">
        <v>3877</v>
      </c>
      <c r="K246" t="n">
        <v>3803</v>
      </c>
      <c r="L246" t="inlineStr">
        <is>
          <t>L-0701</t>
        </is>
      </c>
      <c r="M246">
        <f>F246-G246</f>
        <v/>
      </c>
      <c r="N246" s="2">
        <f>M246/F246</f>
        <v/>
      </c>
      <c r="O246" s="2">
        <f>I246*J246/60/M246</f>
        <v/>
      </c>
      <c r="P246" s="2">
        <f>K246/J246</f>
        <v/>
      </c>
      <c r="Q246" s="2">
        <f>N246*O246*P246</f>
        <v/>
      </c>
    </row>
    <row r="247">
      <c r="A247" t="inlineStr">
        <is>
          <t>2026-07-11</t>
        </is>
      </c>
      <c r="B247" t="inlineStr">
        <is>
          <t>주간</t>
        </is>
      </c>
      <c r="C247" t="inlineStr">
        <is>
          <t>P3</t>
        </is>
      </c>
      <c r="D247" t="inlineStr">
        <is>
          <t>소결</t>
        </is>
      </c>
      <c r="E247" t="inlineStr">
        <is>
          <t>SF-02</t>
        </is>
      </c>
      <c r="F247" t="n">
        <v>480</v>
      </c>
      <c r="G247" t="n">
        <v>41</v>
      </c>
      <c r="H247" t="inlineStr">
        <is>
          <t>재가열</t>
        </is>
      </c>
      <c r="I247" t="n">
        <v>6.5</v>
      </c>
      <c r="J247" t="n">
        <v>3670</v>
      </c>
      <c r="K247" t="n">
        <v>3604</v>
      </c>
      <c r="L247" t="inlineStr">
        <is>
          <t>L-0701</t>
        </is>
      </c>
      <c r="M247">
        <f>F247-G247</f>
        <v/>
      </c>
      <c r="N247" s="2">
        <f>M247/F247</f>
        <v/>
      </c>
      <c r="O247" s="2">
        <f>I247*J247/60/M247</f>
        <v/>
      </c>
      <c r="P247" s="2">
        <f>K247/J247</f>
        <v/>
      </c>
      <c r="Q247" s="2">
        <f>N247*O247*P247</f>
        <v/>
      </c>
    </row>
    <row r="248">
      <c r="A248" t="inlineStr">
        <is>
          <t>2026-07-11</t>
        </is>
      </c>
      <c r="B248" t="inlineStr">
        <is>
          <t>주간</t>
        </is>
      </c>
      <c r="C248" t="inlineStr">
        <is>
          <t>P4</t>
        </is>
      </c>
      <c r="D248" t="inlineStr">
        <is>
          <t>연삭</t>
        </is>
      </c>
      <c r="E248" t="inlineStr">
        <is>
          <t>GR-01</t>
        </is>
      </c>
      <c r="F248" t="n">
        <v>480</v>
      </c>
      <c r="G248" t="n">
        <v>37</v>
      </c>
      <c r="H248" t="inlineStr">
        <is>
          <t>드레싱</t>
        </is>
      </c>
      <c r="I248" t="n">
        <v>6.2</v>
      </c>
      <c r="J248" t="n">
        <v>4019</v>
      </c>
      <c r="K248" t="n">
        <v>3977</v>
      </c>
      <c r="L248" t="inlineStr">
        <is>
          <t>L-0701</t>
        </is>
      </c>
      <c r="M248">
        <f>F248-G248</f>
        <v/>
      </c>
      <c r="N248" s="2">
        <f>M248/F248</f>
        <v/>
      </c>
      <c r="O248" s="2">
        <f>I248*J248/60/M248</f>
        <v/>
      </c>
      <c r="P248" s="2">
        <f>K248/J248</f>
        <v/>
      </c>
      <c r="Q248" s="2">
        <f>N248*O248*P248</f>
        <v/>
      </c>
    </row>
    <row r="249">
      <c r="A249" t="inlineStr">
        <is>
          <t>2026-07-11</t>
        </is>
      </c>
      <c r="B249" t="inlineStr">
        <is>
          <t>주간</t>
        </is>
      </c>
      <c r="C249" t="inlineStr">
        <is>
          <t>P4</t>
        </is>
      </c>
      <c r="D249" t="inlineStr">
        <is>
          <t>연삭</t>
        </is>
      </c>
      <c r="E249" t="inlineStr">
        <is>
          <t>GR-02</t>
        </is>
      </c>
      <c r="F249" t="n">
        <v>480</v>
      </c>
      <c r="G249" t="n">
        <v>40</v>
      </c>
      <c r="H249" t="inlineStr">
        <is>
          <t>드레싱</t>
        </is>
      </c>
      <c r="I249" t="n">
        <v>6.2</v>
      </c>
      <c r="J249" t="n">
        <v>3967</v>
      </c>
      <c r="K249" t="n">
        <v>3926</v>
      </c>
      <c r="L249" t="inlineStr">
        <is>
          <t>L-0701</t>
        </is>
      </c>
      <c r="M249">
        <f>F249-G249</f>
        <v/>
      </c>
      <c r="N249" s="2">
        <f>M249/F249</f>
        <v/>
      </c>
      <c r="O249" s="2">
        <f>I249*J249/60/M249</f>
        <v/>
      </c>
      <c r="P249" s="2">
        <f>K249/J249</f>
        <v/>
      </c>
      <c r="Q249" s="2">
        <f>N249*O249*P249</f>
        <v/>
      </c>
    </row>
    <row r="250">
      <c r="A250" t="inlineStr">
        <is>
          <t>2026-07-11</t>
        </is>
      </c>
      <c r="B250" t="inlineStr">
        <is>
          <t>주간</t>
        </is>
      </c>
      <c r="C250" t="inlineStr">
        <is>
          <t>P5</t>
        </is>
      </c>
      <c r="D250" t="inlineStr">
        <is>
          <t>검사</t>
        </is>
      </c>
      <c r="E250" t="inlineStr">
        <is>
          <t>IN-01</t>
        </is>
      </c>
      <c r="F250" t="n">
        <v>480</v>
      </c>
      <c r="G250" t="n">
        <v>15</v>
      </c>
      <c r="H250" t="inlineStr">
        <is>
          <t>측정기 교정</t>
        </is>
      </c>
      <c r="I250" t="n">
        <v>5.5</v>
      </c>
      <c r="J250" t="n">
        <v>4884</v>
      </c>
      <c r="K250" t="n">
        <v>4868</v>
      </c>
      <c r="L250" t="inlineStr">
        <is>
          <t>L-0701</t>
        </is>
      </c>
      <c r="M250">
        <f>F250-G250</f>
        <v/>
      </c>
      <c r="N250" s="2">
        <f>M250/F250</f>
        <v/>
      </c>
      <c r="O250" s="2">
        <f>I250*J250/60/M250</f>
        <v/>
      </c>
      <c r="P250" s="2">
        <f>K250/J250</f>
        <v/>
      </c>
      <c r="Q250" s="2">
        <f>N250*O250*P250</f>
        <v/>
      </c>
    </row>
    <row r="251">
      <c r="A251" t="inlineStr">
        <is>
          <t>2026-07-11</t>
        </is>
      </c>
      <c r="B251" t="inlineStr">
        <is>
          <t>주간</t>
        </is>
      </c>
      <c r="C251" t="inlineStr">
        <is>
          <t>P5</t>
        </is>
      </c>
      <c r="D251" t="inlineStr">
        <is>
          <t>검사</t>
        </is>
      </c>
      <c r="E251" t="inlineStr">
        <is>
          <t>IN-02</t>
        </is>
      </c>
      <c r="F251" t="n">
        <v>480</v>
      </c>
      <c r="G251" t="n">
        <v>5</v>
      </c>
      <c r="H251" t="inlineStr">
        <is>
          <t>측정기 교정</t>
        </is>
      </c>
      <c r="I251" t="n">
        <v>5.5</v>
      </c>
      <c r="J251" t="n">
        <v>4691</v>
      </c>
      <c r="K251" t="n">
        <v>4679</v>
      </c>
      <c r="L251" t="inlineStr">
        <is>
          <t>L-0701</t>
        </is>
      </c>
      <c r="M251">
        <f>F251-G251</f>
        <v/>
      </c>
      <c r="N251" s="2">
        <f>M251/F251</f>
        <v/>
      </c>
      <c r="O251" s="2">
        <f>I251*J251/60/M251</f>
        <v/>
      </c>
      <c r="P251" s="2">
        <f>K251/J251</f>
        <v/>
      </c>
      <c r="Q251" s="2">
        <f>N251*O251*P251</f>
        <v/>
      </c>
    </row>
    <row r="252">
      <c r="A252" t="inlineStr">
        <is>
          <t>2026-07-11</t>
        </is>
      </c>
      <c r="B252" t="inlineStr">
        <is>
          <t>주간</t>
        </is>
      </c>
      <c r="C252" t="inlineStr">
        <is>
          <t>P6</t>
        </is>
      </c>
      <c r="D252" t="inlineStr">
        <is>
          <t>포장</t>
        </is>
      </c>
      <c r="E252" t="inlineStr">
        <is>
          <t>PK-01</t>
        </is>
      </c>
      <c r="F252" t="n">
        <v>480</v>
      </c>
      <c r="G252" t="n">
        <v>49</v>
      </c>
      <c r="H252" t="inlineStr">
        <is>
          <t>라벨 교체</t>
        </is>
      </c>
      <c r="I252" t="n">
        <v>4.8</v>
      </c>
      <c r="J252" t="n">
        <v>4901</v>
      </c>
      <c r="K252" t="n">
        <v>4892</v>
      </c>
      <c r="L252" t="inlineStr">
        <is>
          <t>L-0701</t>
        </is>
      </c>
      <c r="M252">
        <f>F252-G252</f>
        <v/>
      </c>
      <c r="N252" s="2">
        <f>M252/F252</f>
        <v/>
      </c>
      <c r="O252" s="2">
        <f>I252*J252/60/M252</f>
        <v/>
      </c>
      <c r="P252" s="2">
        <f>K252/J252</f>
        <v/>
      </c>
      <c r="Q252" s="2">
        <f>N252*O252*P252</f>
        <v/>
      </c>
    </row>
    <row r="253">
      <c r="A253" t="inlineStr">
        <is>
          <t>2026-07-11</t>
        </is>
      </c>
      <c r="B253" t="inlineStr">
        <is>
          <t>주간</t>
        </is>
      </c>
      <c r="C253" t="inlineStr">
        <is>
          <t>P6</t>
        </is>
      </c>
      <c r="D253" t="inlineStr">
        <is>
          <t>포장</t>
        </is>
      </c>
      <c r="E253" t="inlineStr">
        <is>
          <t>PK-02</t>
        </is>
      </c>
      <c r="F253" t="n">
        <v>480</v>
      </c>
      <c r="G253" t="n">
        <v>13</v>
      </c>
      <c r="H253" t="inlineStr">
        <is>
          <t>자재 대기</t>
        </is>
      </c>
      <c r="I253" t="n">
        <v>4.8</v>
      </c>
      <c r="J253" t="n">
        <v>5247</v>
      </c>
      <c r="K253" t="n">
        <v>5236</v>
      </c>
      <c r="L253" t="inlineStr">
        <is>
          <t>L-0701</t>
        </is>
      </c>
      <c r="M253">
        <f>F253-G253</f>
        <v/>
      </c>
      <c r="N253" s="2">
        <f>M253/F253</f>
        <v/>
      </c>
      <c r="O253" s="2">
        <f>I253*J253/60/M253</f>
        <v/>
      </c>
      <c r="P253" s="2">
        <f>K253/J253</f>
        <v/>
      </c>
      <c r="Q253" s="2">
        <f>N253*O253*P253</f>
        <v/>
      </c>
    </row>
    <row r="254">
      <c r="A254" t="inlineStr">
        <is>
          <t>2026-07-11</t>
        </is>
      </c>
      <c r="B254" t="inlineStr">
        <is>
          <t>야간</t>
        </is>
      </c>
      <c r="C254" t="inlineStr">
        <is>
          <t>P1</t>
        </is>
      </c>
      <c r="D254" t="inlineStr">
        <is>
          <t>원료혼합</t>
        </is>
      </c>
      <c r="E254" t="inlineStr">
        <is>
          <t>MX-01</t>
        </is>
      </c>
      <c r="F254" t="n">
        <v>480</v>
      </c>
      <c r="G254" t="n">
        <v>17</v>
      </c>
      <c r="H254" t="inlineStr">
        <is>
          <t>배합 확인</t>
        </is>
      </c>
      <c r="I254" t="n">
        <v>5</v>
      </c>
      <c r="J254" t="n">
        <v>5053</v>
      </c>
      <c r="K254" t="n">
        <v>5017</v>
      </c>
      <c r="L254" t="inlineStr">
        <is>
          <t>L-0701</t>
        </is>
      </c>
      <c r="M254">
        <f>F254-G254</f>
        <v/>
      </c>
      <c r="N254" s="2">
        <f>M254/F254</f>
        <v/>
      </c>
      <c r="O254" s="2">
        <f>I254*J254/60/M254</f>
        <v/>
      </c>
      <c r="P254" s="2">
        <f>K254/J254</f>
        <v/>
      </c>
      <c r="Q254" s="2">
        <f>N254*O254*P254</f>
        <v/>
      </c>
    </row>
    <row r="255">
      <c r="A255" t="inlineStr">
        <is>
          <t>2026-07-11</t>
        </is>
      </c>
      <c r="B255" t="inlineStr">
        <is>
          <t>야간</t>
        </is>
      </c>
      <c r="C255" t="inlineStr">
        <is>
          <t>P1</t>
        </is>
      </c>
      <c r="D255" t="inlineStr">
        <is>
          <t>원료혼합</t>
        </is>
      </c>
      <c r="E255" t="inlineStr">
        <is>
          <t>MX-02</t>
        </is>
      </c>
      <c r="F255" t="n">
        <v>480</v>
      </c>
      <c r="G255" t="n">
        <v>20</v>
      </c>
      <c r="H255" t="inlineStr">
        <is>
          <t>청소</t>
        </is>
      </c>
      <c r="I255" t="n">
        <v>5</v>
      </c>
      <c r="J255" t="n">
        <v>5127</v>
      </c>
      <c r="K255" t="n">
        <v>5087</v>
      </c>
      <c r="L255" t="inlineStr">
        <is>
          <t>L-0701</t>
        </is>
      </c>
      <c r="M255">
        <f>F255-G255</f>
        <v/>
      </c>
      <c r="N255" s="2">
        <f>M255/F255</f>
        <v/>
      </c>
      <c r="O255" s="2">
        <f>I255*J255/60/M255</f>
        <v/>
      </c>
      <c r="P255" s="2">
        <f>K255/J255</f>
        <v/>
      </c>
      <c r="Q255" s="2">
        <f>N255*O255*P255</f>
        <v/>
      </c>
    </row>
    <row r="256">
      <c r="A256" t="inlineStr">
        <is>
          <t>2026-07-11</t>
        </is>
      </c>
      <c r="B256" t="inlineStr">
        <is>
          <t>야간</t>
        </is>
      </c>
      <c r="C256" t="inlineStr">
        <is>
          <t>P2</t>
        </is>
      </c>
      <c r="D256" t="inlineStr">
        <is>
          <t>성형</t>
        </is>
      </c>
      <c r="E256" t="inlineStr">
        <is>
          <t>PR-01</t>
        </is>
      </c>
      <c r="F256" t="n">
        <v>480</v>
      </c>
      <c r="G256" t="n">
        <v>8</v>
      </c>
      <c r="H256" t="inlineStr">
        <is>
          <t>압력 이상</t>
        </is>
      </c>
      <c r="I256" t="n">
        <v>6</v>
      </c>
      <c r="J256" t="n">
        <v>4375</v>
      </c>
      <c r="K256" t="n">
        <v>4322</v>
      </c>
      <c r="L256" t="inlineStr">
        <is>
          <t>L-0701</t>
        </is>
      </c>
      <c r="M256">
        <f>F256-G256</f>
        <v/>
      </c>
      <c r="N256" s="2">
        <f>M256/F256</f>
        <v/>
      </c>
      <c r="O256" s="2">
        <f>I256*J256/60/M256</f>
        <v/>
      </c>
      <c r="P256" s="2">
        <f>K256/J256</f>
        <v/>
      </c>
      <c r="Q256" s="2">
        <f>N256*O256*P256</f>
        <v/>
      </c>
    </row>
    <row r="257">
      <c r="A257" t="inlineStr">
        <is>
          <t>2026-07-11</t>
        </is>
      </c>
      <c r="B257" t="inlineStr">
        <is>
          <t>야간</t>
        </is>
      </c>
      <c r="C257" t="inlineStr">
        <is>
          <t>P2</t>
        </is>
      </c>
      <c r="D257" t="inlineStr">
        <is>
          <t>성형</t>
        </is>
      </c>
      <c r="E257" t="inlineStr">
        <is>
          <t>PR-02</t>
        </is>
      </c>
      <c r="F257" t="n">
        <v>480</v>
      </c>
      <c r="G257" t="n">
        <v>11</v>
      </c>
      <c r="H257" t="inlineStr">
        <is>
          <t>금형 교체</t>
        </is>
      </c>
      <c r="I257" t="n">
        <v>6</v>
      </c>
      <c r="J257" t="n">
        <v>4643</v>
      </c>
      <c r="K257" t="n">
        <v>4601</v>
      </c>
      <c r="L257" t="inlineStr">
        <is>
          <t>L-0701</t>
        </is>
      </c>
      <c r="M257">
        <f>F257-G257</f>
        <v/>
      </c>
      <c r="N257" s="2">
        <f>M257/F257</f>
        <v/>
      </c>
      <c r="O257" s="2">
        <f>I257*J257/60/M257</f>
        <v/>
      </c>
      <c r="P257" s="2">
        <f>K257/J257</f>
        <v/>
      </c>
      <c r="Q257" s="2">
        <f>N257*O257*P257</f>
        <v/>
      </c>
    </row>
    <row r="258">
      <c r="A258" t="inlineStr">
        <is>
          <t>2026-07-11</t>
        </is>
      </c>
      <c r="B258" t="inlineStr">
        <is>
          <t>야간</t>
        </is>
      </c>
      <c r="C258" t="inlineStr">
        <is>
          <t>P3</t>
        </is>
      </c>
      <c r="D258" t="inlineStr">
        <is>
          <t>소결</t>
        </is>
      </c>
      <c r="E258" t="inlineStr">
        <is>
          <t>SF-01</t>
        </is>
      </c>
      <c r="F258" t="n">
        <v>480</v>
      </c>
      <c r="G258" t="n">
        <v>43</v>
      </c>
      <c r="H258" t="inlineStr">
        <is>
          <t>온도 이상 정지</t>
        </is>
      </c>
      <c r="I258" t="n">
        <v>6.5</v>
      </c>
      <c r="J258" t="n">
        <v>3785</v>
      </c>
      <c r="K258" t="n">
        <v>3678</v>
      </c>
      <c r="L258" t="inlineStr">
        <is>
          <t>L-0701</t>
        </is>
      </c>
      <c r="M258">
        <f>F258-G258</f>
        <v/>
      </c>
      <c r="N258" s="2">
        <f>M258/F258</f>
        <v/>
      </c>
      <c r="O258" s="2">
        <f>I258*J258/60/M258</f>
        <v/>
      </c>
      <c r="P258" s="2">
        <f>K258/J258</f>
        <v/>
      </c>
      <c r="Q258" s="2">
        <f>N258*O258*P258</f>
        <v/>
      </c>
    </row>
    <row r="259">
      <c r="A259" t="inlineStr">
        <is>
          <t>2026-07-11</t>
        </is>
      </c>
      <c r="B259" t="inlineStr">
        <is>
          <t>야간</t>
        </is>
      </c>
      <c r="C259" t="inlineStr">
        <is>
          <t>P3</t>
        </is>
      </c>
      <c r="D259" t="inlineStr">
        <is>
          <t>소결</t>
        </is>
      </c>
      <c r="E259" t="inlineStr">
        <is>
          <t>SF-02</t>
        </is>
      </c>
      <c r="F259" t="n">
        <v>480</v>
      </c>
      <c r="G259" t="n">
        <v>60</v>
      </c>
      <c r="H259" t="inlineStr">
        <is>
          <t>재가열</t>
        </is>
      </c>
      <c r="I259" t="n">
        <v>6.5</v>
      </c>
      <c r="J259" t="n">
        <v>3505</v>
      </c>
      <c r="K259" t="n">
        <v>3420</v>
      </c>
      <c r="L259" t="inlineStr">
        <is>
          <t>L-0701</t>
        </is>
      </c>
      <c r="M259">
        <f>F259-G259</f>
        <v/>
      </c>
      <c r="N259" s="2">
        <f>M259/F259</f>
        <v/>
      </c>
      <c r="O259" s="2">
        <f>I259*J259/60/M259</f>
        <v/>
      </c>
      <c r="P259" s="2">
        <f>K259/J259</f>
        <v/>
      </c>
      <c r="Q259" s="2">
        <f>N259*O259*P259</f>
        <v/>
      </c>
    </row>
    <row r="260">
      <c r="A260" t="inlineStr">
        <is>
          <t>2026-07-11</t>
        </is>
      </c>
      <c r="B260" t="inlineStr">
        <is>
          <t>야간</t>
        </is>
      </c>
      <c r="C260" t="inlineStr">
        <is>
          <t>P4</t>
        </is>
      </c>
      <c r="D260" t="inlineStr">
        <is>
          <t>연삭</t>
        </is>
      </c>
      <c r="E260" t="inlineStr">
        <is>
          <t>GR-01</t>
        </is>
      </c>
      <c r="F260" t="n">
        <v>480</v>
      </c>
      <c r="G260" t="n">
        <v>75</v>
      </c>
      <c r="H260" t="inlineStr">
        <is>
          <t>드레싱</t>
        </is>
      </c>
      <c r="I260" t="n">
        <v>6.2</v>
      </c>
      <c r="J260" t="n">
        <v>3590</v>
      </c>
      <c r="K260" t="n">
        <v>3550</v>
      </c>
      <c r="L260" t="inlineStr">
        <is>
          <t>L-0701</t>
        </is>
      </c>
      <c r="M260">
        <f>F260-G260</f>
        <v/>
      </c>
      <c r="N260" s="2">
        <f>M260/F260</f>
        <v/>
      </c>
      <c r="O260" s="2">
        <f>I260*J260/60/M260</f>
        <v/>
      </c>
      <c r="P260" s="2">
        <f>K260/J260</f>
        <v/>
      </c>
      <c r="Q260" s="2">
        <f>N260*O260*P260</f>
        <v/>
      </c>
    </row>
    <row r="261">
      <c r="A261" t="inlineStr">
        <is>
          <t>2026-07-11</t>
        </is>
      </c>
      <c r="B261" t="inlineStr">
        <is>
          <t>야간</t>
        </is>
      </c>
      <c r="C261" t="inlineStr">
        <is>
          <t>P4</t>
        </is>
      </c>
      <c r="D261" t="inlineStr">
        <is>
          <t>연삭</t>
        </is>
      </c>
      <c r="E261" t="inlineStr">
        <is>
          <t>GR-02</t>
        </is>
      </c>
      <c r="F261" t="n">
        <v>480</v>
      </c>
      <c r="G261" t="n">
        <v>51</v>
      </c>
      <c r="H261" t="inlineStr">
        <is>
          <t>공구 교체</t>
        </is>
      </c>
      <c r="I261" t="n">
        <v>6.2</v>
      </c>
      <c r="J261" t="n">
        <v>3530</v>
      </c>
      <c r="K261" t="n">
        <v>3490</v>
      </c>
      <c r="L261" t="inlineStr">
        <is>
          <t>L-0701</t>
        </is>
      </c>
      <c r="M261">
        <f>F261-G261</f>
        <v/>
      </c>
      <c r="N261" s="2">
        <f>M261/F261</f>
        <v/>
      </c>
      <c r="O261" s="2">
        <f>I261*J261/60/M261</f>
        <v/>
      </c>
      <c r="P261" s="2">
        <f>K261/J261</f>
        <v/>
      </c>
      <c r="Q261" s="2">
        <f>N261*O261*P261</f>
        <v/>
      </c>
    </row>
    <row r="262">
      <c r="A262" t="inlineStr">
        <is>
          <t>2026-07-11</t>
        </is>
      </c>
      <c r="B262" t="inlineStr">
        <is>
          <t>야간</t>
        </is>
      </c>
      <c r="C262" t="inlineStr">
        <is>
          <t>P5</t>
        </is>
      </c>
      <c r="D262" t="inlineStr">
        <is>
          <t>검사</t>
        </is>
      </c>
      <c r="E262" t="inlineStr">
        <is>
          <t>IN-01</t>
        </is>
      </c>
      <c r="F262" t="n">
        <v>480</v>
      </c>
      <c r="G262" t="n">
        <v>49</v>
      </c>
      <c r="H262" t="inlineStr">
        <is>
          <t>측정기 교정</t>
        </is>
      </c>
      <c r="I262" t="n">
        <v>5.5</v>
      </c>
      <c r="J262" t="n">
        <v>4291</v>
      </c>
      <c r="K262" t="n">
        <v>4274</v>
      </c>
      <c r="L262" t="inlineStr">
        <is>
          <t>L-0701</t>
        </is>
      </c>
      <c r="M262">
        <f>F262-G262</f>
        <v/>
      </c>
      <c r="N262" s="2">
        <f>M262/F262</f>
        <v/>
      </c>
      <c r="O262" s="2">
        <f>I262*J262/60/M262</f>
        <v/>
      </c>
      <c r="P262" s="2">
        <f>K262/J262</f>
        <v/>
      </c>
      <c r="Q262" s="2">
        <f>N262*O262*P262</f>
        <v/>
      </c>
    </row>
    <row r="263">
      <c r="A263" t="inlineStr">
        <is>
          <t>2026-07-11</t>
        </is>
      </c>
      <c r="B263" t="inlineStr">
        <is>
          <t>야간</t>
        </is>
      </c>
      <c r="C263" t="inlineStr">
        <is>
          <t>P5</t>
        </is>
      </c>
      <c r="D263" t="inlineStr">
        <is>
          <t>검사</t>
        </is>
      </c>
      <c r="E263" t="inlineStr">
        <is>
          <t>IN-02</t>
        </is>
      </c>
      <c r="F263" t="n">
        <v>480</v>
      </c>
      <c r="G263" t="n">
        <v>14</v>
      </c>
      <c r="H263" t="inlineStr">
        <is>
          <t>측정기 교정</t>
        </is>
      </c>
      <c r="I263" t="n">
        <v>5.5</v>
      </c>
      <c r="J263" t="n">
        <v>4719</v>
      </c>
      <c r="K263" t="n">
        <v>4698</v>
      </c>
      <c r="L263" t="inlineStr">
        <is>
          <t>L-0701</t>
        </is>
      </c>
      <c r="M263">
        <f>F263-G263</f>
        <v/>
      </c>
      <c r="N263" s="2">
        <f>M263/F263</f>
        <v/>
      </c>
      <c r="O263" s="2">
        <f>I263*J263/60/M263</f>
        <v/>
      </c>
      <c r="P263" s="2">
        <f>K263/J263</f>
        <v/>
      </c>
      <c r="Q263" s="2">
        <f>N263*O263*P263</f>
        <v/>
      </c>
    </row>
    <row r="264">
      <c r="A264" t="inlineStr">
        <is>
          <t>2026-07-11</t>
        </is>
      </c>
      <c r="B264" t="inlineStr">
        <is>
          <t>야간</t>
        </is>
      </c>
      <c r="C264" t="inlineStr">
        <is>
          <t>P6</t>
        </is>
      </c>
      <c r="D264" t="inlineStr">
        <is>
          <t>포장</t>
        </is>
      </c>
      <c r="E264" t="inlineStr">
        <is>
          <t>PK-01</t>
        </is>
      </c>
      <c r="F264" t="n">
        <v>480</v>
      </c>
      <c r="G264" t="n">
        <v>33</v>
      </c>
      <c r="H264" t="inlineStr">
        <is>
          <t>자재 대기</t>
        </is>
      </c>
      <c r="I264" t="n">
        <v>4.8</v>
      </c>
      <c r="J264" t="n">
        <v>5289</v>
      </c>
      <c r="K264" t="n">
        <v>5271</v>
      </c>
      <c r="L264" t="inlineStr">
        <is>
          <t>L-0701</t>
        </is>
      </c>
      <c r="M264">
        <f>F264-G264</f>
        <v/>
      </c>
      <c r="N264" s="2">
        <f>M264/F264</f>
        <v/>
      </c>
      <c r="O264" s="2">
        <f>I264*J264/60/M264</f>
        <v/>
      </c>
      <c r="P264" s="2">
        <f>K264/J264</f>
        <v/>
      </c>
      <c r="Q264" s="2">
        <f>N264*O264*P264</f>
        <v/>
      </c>
    </row>
    <row r="265">
      <c r="A265" t="inlineStr">
        <is>
          <t>2026-07-11</t>
        </is>
      </c>
      <c r="B265" t="inlineStr">
        <is>
          <t>야간</t>
        </is>
      </c>
      <c r="C265" t="inlineStr">
        <is>
          <t>P6</t>
        </is>
      </c>
      <c r="D265" t="inlineStr">
        <is>
          <t>포장</t>
        </is>
      </c>
      <c r="E265" t="inlineStr">
        <is>
          <t>PK-02</t>
        </is>
      </c>
      <c r="F265" t="n">
        <v>480</v>
      </c>
      <c r="G265" t="n">
        <v>14</v>
      </c>
      <c r="H265" t="inlineStr">
        <is>
          <t>라벨 교체</t>
        </is>
      </c>
      <c r="I265" t="n">
        <v>4.8</v>
      </c>
      <c r="J265" t="n">
        <v>5407</v>
      </c>
      <c r="K265" t="n">
        <v>5389</v>
      </c>
      <c r="L265" t="inlineStr">
        <is>
          <t>L-0701</t>
        </is>
      </c>
      <c r="M265">
        <f>F265-G265</f>
        <v/>
      </c>
      <c r="N265" s="2">
        <f>M265/F265</f>
        <v/>
      </c>
      <c r="O265" s="2">
        <f>I265*J265/60/M265</f>
        <v/>
      </c>
      <c r="P265" s="2">
        <f>K265/J265</f>
        <v/>
      </c>
      <c r="Q265" s="2">
        <f>N265*O265*P265</f>
        <v/>
      </c>
    </row>
    <row r="266">
      <c r="A266" t="inlineStr">
        <is>
          <t>2026-07-12</t>
        </is>
      </c>
      <c r="B266" t="inlineStr">
        <is>
          <t>주간</t>
        </is>
      </c>
      <c r="C266" t="inlineStr">
        <is>
          <t>P1</t>
        </is>
      </c>
      <c r="D266" t="inlineStr">
        <is>
          <t>원료혼합</t>
        </is>
      </c>
      <c r="E266" t="inlineStr">
        <is>
          <t>MX-01</t>
        </is>
      </c>
      <c r="F266" t="n">
        <v>480</v>
      </c>
      <c r="G266" t="n">
        <v>6</v>
      </c>
      <c r="H266" t="inlineStr">
        <is>
          <t>청소</t>
        </is>
      </c>
      <c r="I266" t="n">
        <v>5</v>
      </c>
      <c r="J266" t="n">
        <v>5170</v>
      </c>
      <c r="K266" t="n">
        <v>5139</v>
      </c>
      <c r="L266" t="inlineStr">
        <is>
          <t>L-0701</t>
        </is>
      </c>
      <c r="M266">
        <f>F266-G266</f>
        <v/>
      </c>
      <c r="N266" s="2">
        <f>M266/F266</f>
        <v/>
      </c>
      <c r="O266" s="2">
        <f>I266*J266/60/M266</f>
        <v/>
      </c>
      <c r="P266" s="2">
        <f>K266/J266</f>
        <v/>
      </c>
      <c r="Q266" s="2">
        <f>N266*O266*P266</f>
        <v/>
      </c>
    </row>
    <row r="267">
      <c r="A267" t="inlineStr">
        <is>
          <t>2026-07-12</t>
        </is>
      </c>
      <c r="B267" t="inlineStr">
        <is>
          <t>주간</t>
        </is>
      </c>
      <c r="C267" t="inlineStr">
        <is>
          <t>P1</t>
        </is>
      </c>
      <c r="D267" t="inlineStr">
        <is>
          <t>원료혼합</t>
        </is>
      </c>
      <c r="E267" t="inlineStr">
        <is>
          <t>MX-02</t>
        </is>
      </c>
      <c r="F267" t="n">
        <v>480</v>
      </c>
      <c r="G267" t="n">
        <v>10</v>
      </c>
      <c r="H267" t="inlineStr">
        <is>
          <t>청소</t>
        </is>
      </c>
      <c r="I267" t="n">
        <v>5</v>
      </c>
      <c r="J267" t="n">
        <v>5514</v>
      </c>
      <c r="K267" t="n">
        <v>5481</v>
      </c>
      <c r="L267" t="inlineStr">
        <is>
          <t>L-0701</t>
        </is>
      </c>
      <c r="M267">
        <f>F267-G267</f>
        <v/>
      </c>
      <c r="N267" s="2">
        <f>M267/F267</f>
        <v/>
      </c>
      <c r="O267" s="2">
        <f>I267*J267/60/M267</f>
        <v/>
      </c>
      <c r="P267" s="2">
        <f>K267/J267</f>
        <v/>
      </c>
      <c r="Q267" s="2">
        <f>N267*O267*P267</f>
        <v/>
      </c>
    </row>
    <row r="268">
      <c r="A268" t="inlineStr">
        <is>
          <t>2026-07-12</t>
        </is>
      </c>
      <c r="B268" t="inlineStr">
        <is>
          <t>주간</t>
        </is>
      </c>
      <c r="C268" t="inlineStr">
        <is>
          <t>P2</t>
        </is>
      </c>
      <c r="D268" t="inlineStr">
        <is>
          <t>성형</t>
        </is>
      </c>
      <c r="E268" t="inlineStr">
        <is>
          <t>PR-01</t>
        </is>
      </c>
      <c r="F268" t="n">
        <v>480</v>
      </c>
      <c r="G268" t="n">
        <v>12</v>
      </c>
      <c r="H268" t="inlineStr">
        <is>
          <t>금형 교체</t>
        </is>
      </c>
      <c r="I268" t="n">
        <v>6</v>
      </c>
      <c r="J268" t="n">
        <v>4443</v>
      </c>
      <c r="K268" t="n">
        <v>4413</v>
      </c>
      <c r="L268" t="inlineStr">
        <is>
          <t>L-0701</t>
        </is>
      </c>
      <c r="M268">
        <f>F268-G268</f>
        <v/>
      </c>
      <c r="N268" s="2">
        <f>M268/F268</f>
        <v/>
      </c>
      <c r="O268" s="2">
        <f>I268*J268/60/M268</f>
        <v/>
      </c>
      <c r="P268" s="2">
        <f>K268/J268</f>
        <v/>
      </c>
      <c r="Q268" s="2">
        <f>N268*O268*P268</f>
        <v/>
      </c>
    </row>
    <row r="269">
      <c r="A269" t="inlineStr">
        <is>
          <t>2026-07-12</t>
        </is>
      </c>
      <c r="B269" t="inlineStr">
        <is>
          <t>주간</t>
        </is>
      </c>
      <c r="C269" t="inlineStr">
        <is>
          <t>P2</t>
        </is>
      </c>
      <c r="D269" t="inlineStr">
        <is>
          <t>성형</t>
        </is>
      </c>
      <c r="E269" t="inlineStr">
        <is>
          <t>PR-02</t>
        </is>
      </c>
      <c r="F269" t="n">
        <v>480</v>
      </c>
      <c r="G269" t="n">
        <v>13</v>
      </c>
      <c r="H269" t="inlineStr">
        <is>
          <t>금형 교체</t>
        </is>
      </c>
      <c r="I269" t="n">
        <v>6</v>
      </c>
      <c r="J269" t="n">
        <v>4293</v>
      </c>
      <c r="K269" t="n">
        <v>4251</v>
      </c>
      <c r="L269" t="inlineStr">
        <is>
          <t>L-0701</t>
        </is>
      </c>
      <c r="M269">
        <f>F269-G269</f>
        <v/>
      </c>
      <c r="N269" s="2">
        <f>M269/F269</f>
        <v/>
      </c>
      <c r="O269" s="2">
        <f>I269*J269/60/M269</f>
        <v/>
      </c>
      <c r="P269" s="2">
        <f>K269/J269</f>
        <v/>
      </c>
      <c r="Q269" s="2">
        <f>N269*O269*P269</f>
        <v/>
      </c>
    </row>
    <row r="270">
      <c r="A270" t="inlineStr">
        <is>
          <t>2026-07-12</t>
        </is>
      </c>
      <c r="B270" t="inlineStr">
        <is>
          <t>주간</t>
        </is>
      </c>
      <c r="C270" t="inlineStr">
        <is>
          <t>P3</t>
        </is>
      </c>
      <c r="D270" t="inlineStr">
        <is>
          <t>소결</t>
        </is>
      </c>
      <c r="E270" t="inlineStr">
        <is>
          <t>SF-01</t>
        </is>
      </c>
      <c r="F270" t="n">
        <v>480</v>
      </c>
      <c r="G270" t="n">
        <v>22</v>
      </c>
      <c r="H270" t="inlineStr">
        <is>
          <t>승온 대기</t>
        </is>
      </c>
      <c r="I270" t="n">
        <v>6.5</v>
      </c>
      <c r="J270" t="n">
        <v>3770</v>
      </c>
      <c r="K270" t="n">
        <v>3625</v>
      </c>
      <c r="L270" t="inlineStr">
        <is>
          <t>L-0701</t>
        </is>
      </c>
      <c r="M270">
        <f>F270-G270</f>
        <v/>
      </c>
      <c r="N270" s="2">
        <f>M270/F270</f>
        <v/>
      </c>
      <c r="O270" s="2">
        <f>I270*J270/60/M270</f>
        <v/>
      </c>
      <c r="P270" s="2">
        <f>K270/J270</f>
        <v/>
      </c>
      <c r="Q270" s="2">
        <f>N270*O270*P270</f>
        <v/>
      </c>
    </row>
    <row r="271">
      <c r="A271" t="inlineStr">
        <is>
          <t>2026-07-12</t>
        </is>
      </c>
      <c r="B271" t="inlineStr">
        <is>
          <t>주간</t>
        </is>
      </c>
      <c r="C271" t="inlineStr">
        <is>
          <t>P3</t>
        </is>
      </c>
      <c r="D271" t="inlineStr">
        <is>
          <t>소결</t>
        </is>
      </c>
      <c r="E271" t="inlineStr">
        <is>
          <t>SF-02</t>
        </is>
      </c>
      <c r="F271" t="n">
        <v>480</v>
      </c>
      <c r="G271" t="n">
        <v>33</v>
      </c>
      <c r="H271" t="inlineStr">
        <is>
          <t>재가열</t>
        </is>
      </c>
      <c r="I271" t="n">
        <v>6.5</v>
      </c>
      <c r="J271" t="n">
        <v>3792</v>
      </c>
      <c r="K271" t="n">
        <v>3719</v>
      </c>
      <c r="L271" t="inlineStr">
        <is>
          <t>L-0701</t>
        </is>
      </c>
      <c r="M271">
        <f>F271-G271</f>
        <v/>
      </c>
      <c r="N271" s="2">
        <f>M271/F271</f>
        <v/>
      </c>
      <c r="O271" s="2">
        <f>I271*J271/60/M271</f>
        <v/>
      </c>
      <c r="P271" s="2">
        <f>K271/J271</f>
        <v/>
      </c>
      <c r="Q271" s="2">
        <f>N271*O271*P271</f>
        <v/>
      </c>
    </row>
    <row r="272">
      <c r="A272" t="inlineStr">
        <is>
          <t>2026-07-12</t>
        </is>
      </c>
      <c r="B272" t="inlineStr">
        <is>
          <t>주간</t>
        </is>
      </c>
      <c r="C272" t="inlineStr">
        <is>
          <t>P4</t>
        </is>
      </c>
      <c r="D272" t="inlineStr">
        <is>
          <t>연삭</t>
        </is>
      </c>
      <c r="E272" t="inlineStr">
        <is>
          <t>GR-01</t>
        </is>
      </c>
      <c r="F272" t="n">
        <v>480</v>
      </c>
      <c r="G272" t="n">
        <v>92</v>
      </c>
      <c r="H272" t="inlineStr">
        <is>
          <t>드레싱</t>
        </is>
      </c>
      <c r="I272" t="n">
        <v>6.2</v>
      </c>
      <c r="J272" t="n">
        <v>3360</v>
      </c>
      <c r="K272" t="n">
        <v>3326</v>
      </c>
      <c r="L272" t="inlineStr">
        <is>
          <t>L-0701</t>
        </is>
      </c>
      <c r="M272">
        <f>F272-G272</f>
        <v/>
      </c>
      <c r="N272" s="2">
        <f>M272/F272</f>
        <v/>
      </c>
      <c r="O272" s="2">
        <f>I272*J272/60/M272</f>
        <v/>
      </c>
      <c r="P272" s="2">
        <f>K272/J272</f>
        <v/>
      </c>
      <c r="Q272" s="2">
        <f>N272*O272*P272</f>
        <v/>
      </c>
    </row>
    <row r="273">
      <c r="A273" t="inlineStr">
        <is>
          <t>2026-07-12</t>
        </is>
      </c>
      <c r="B273" t="inlineStr">
        <is>
          <t>주간</t>
        </is>
      </c>
      <c r="C273" t="inlineStr">
        <is>
          <t>P4</t>
        </is>
      </c>
      <c r="D273" t="inlineStr">
        <is>
          <t>연삭</t>
        </is>
      </c>
      <c r="E273" t="inlineStr">
        <is>
          <t>GR-02</t>
        </is>
      </c>
      <c r="F273" t="n">
        <v>480</v>
      </c>
      <c r="G273" t="n">
        <v>81</v>
      </c>
      <c r="H273" t="inlineStr">
        <is>
          <t>공구 교체</t>
        </is>
      </c>
      <c r="I273" t="n">
        <v>6.2</v>
      </c>
      <c r="J273" t="n">
        <v>3604</v>
      </c>
      <c r="K273" t="n">
        <v>3569</v>
      </c>
      <c r="L273" t="inlineStr">
        <is>
          <t>L-0701</t>
        </is>
      </c>
      <c r="M273">
        <f>F273-G273</f>
        <v/>
      </c>
      <c r="N273" s="2">
        <f>M273/F273</f>
        <v/>
      </c>
      <c r="O273" s="2">
        <f>I273*J273/60/M273</f>
        <v/>
      </c>
      <c r="P273" s="2">
        <f>K273/J273</f>
        <v/>
      </c>
      <c r="Q273" s="2">
        <f>N273*O273*P273</f>
        <v/>
      </c>
    </row>
    <row r="274">
      <c r="A274" t="inlineStr">
        <is>
          <t>2026-07-12</t>
        </is>
      </c>
      <c r="B274" t="inlineStr">
        <is>
          <t>주간</t>
        </is>
      </c>
      <c r="C274" t="inlineStr">
        <is>
          <t>P5</t>
        </is>
      </c>
      <c r="D274" t="inlineStr">
        <is>
          <t>검사</t>
        </is>
      </c>
      <c r="E274" t="inlineStr">
        <is>
          <t>IN-01</t>
        </is>
      </c>
      <c r="F274" t="n">
        <v>480</v>
      </c>
      <c r="G274" t="n">
        <v>17</v>
      </c>
      <c r="H274" t="inlineStr">
        <is>
          <t>측정기 교정</t>
        </is>
      </c>
      <c r="I274" t="n">
        <v>5.5</v>
      </c>
      <c r="J274" t="n">
        <v>4841</v>
      </c>
      <c r="K274" t="n">
        <v>4823</v>
      </c>
      <c r="L274" t="inlineStr">
        <is>
          <t>L-0701</t>
        </is>
      </c>
      <c r="M274">
        <f>F274-G274</f>
        <v/>
      </c>
      <c r="N274" s="2">
        <f>M274/F274</f>
        <v/>
      </c>
      <c r="O274" s="2">
        <f>I274*J274/60/M274</f>
        <v/>
      </c>
      <c r="P274" s="2">
        <f>K274/J274</f>
        <v/>
      </c>
      <c r="Q274" s="2">
        <f>N274*O274*P274</f>
        <v/>
      </c>
    </row>
    <row r="275">
      <c r="A275" t="inlineStr">
        <is>
          <t>2026-07-12</t>
        </is>
      </c>
      <c r="B275" t="inlineStr">
        <is>
          <t>주간</t>
        </is>
      </c>
      <c r="C275" t="inlineStr">
        <is>
          <t>P5</t>
        </is>
      </c>
      <c r="D275" t="inlineStr">
        <is>
          <t>검사</t>
        </is>
      </c>
      <c r="E275" t="inlineStr">
        <is>
          <t>IN-02</t>
        </is>
      </c>
      <c r="F275" t="n">
        <v>480</v>
      </c>
      <c r="G275" t="n">
        <v>25</v>
      </c>
      <c r="H275" t="inlineStr">
        <is>
          <t>측정기 교정</t>
        </is>
      </c>
      <c r="I275" t="n">
        <v>5.5</v>
      </c>
      <c r="J275" t="n">
        <v>4618</v>
      </c>
      <c r="K275" t="n">
        <v>4607</v>
      </c>
      <c r="L275" t="inlineStr">
        <is>
          <t>L-0701</t>
        </is>
      </c>
      <c r="M275">
        <f>F275-G275</f>
        <v/>
      </c>
      <c r="N275" s="2">
        <f>M275/F275</f>
        <v/>
      </c>
      <c r="O275" s="2">
        <f>I275*J275/60/M275</f>
        <v/>
      </c>
      <c r="P275" s="2">
        <f>K275/J275</f>
        <v/>
      </c>
      <c r="Q275" s="2">
        <f>N275*O275*P275</f>
        <v/>
      </c>
    </row>
    <row r="276">
      <c r="A276" t="inlineStr">
        <is>
          <t>2026-07-12</t>
        </is>
      </c>
      <c r="B276" t="inlineStr">
        <is>
          <t>주간</t>
        </is>
      </c>
      <c r="C276" t="inlineStr">
        <is>
          <t>P6</t>
        </is>
      </c>
      <c r="D276" t="inlineStr">
        <is>
          <t>포장</t>
        </is>
      </c>
      <c r="E276" t="inlineStr">
        <is>
          <t>PK-01</t>
        </is>
      </c>
      <c r="F276" t="n">
        <v>480</v>
      </c>
      <c r="G276" t="n">
        <v>8</v>
      </c>
      <c r="H276" t="inlineStr">
        <is>
          <t>자재 대기</t>
        </is>
      </c>
      <c r="I276" t="n">
        <v>4.8</v>
      </c>
      <c r="J276" t="n">
        <v>5424</v>
      </c>
      <c r="K276" t="n">
        <v>5415</v>
      </c>
      <c r="L276" t="inlineStr">
        <is>
          <t>L-0701</t>
        </is>
      </c>
      <c r="M276">
        <f>F276-G276</f>
        <v/>
      </c>
      <c r="N276" s="2">
        <f>M276/F276</f>
        <v/>
      </c>
      <c r="O276" s="2">
        <f>I276*J276/60/M276</f>
        <v/>
      </c>
      <c r="P276" s="2">
        <f>K276/J276</f>
        <v/>
      </c>
      <c r="Q276" s="2">
        <f>N276*O276*P276</f>
        <v/>
      </c>
    </row>
    <row r="277">
      <c r="A277" t="inlineStr">
        <is>
          <t>2026-07-12</t>
        </is>
      </c>
      <c r="B277" t="inlineStr">
        <is>
          <t>주간</t>
        </is>
      </c>
      <c r="C277" t="inlineStr">
        <is>
          <t>P6</t>
        </is>
      </c>
      <c r="D277" t="inlineStr">
        <is>
          <t>포장</t>
        </is>
      </c>
      <c r="E277" t="inlineStr">
        <is>
          <t>PK-02</t>
        </is>
      </c>
      <c r="F277" t="n">
        <v>480</v>
      </c>
      <c r="G277" t="n">
        <v>25</v>
      </c>
      <c r="H277" t="inlineStr">
        <is>
          <t>자재 대기</t>
        </is>
      </c>
      <c r="I277" t="n">
        <v>4.8</v>
      </c>
      <c r="J277" t="n">
        <v>5198</v>
      </c>
      <c r="K277" t="n">
        <v>5187</v>
      </c>
      <c r="L277" t="inlineStr">
        <is>
          <t>L-0701</t>
        </is>
      </c>
      <c r="M277">
        <f>F277-G277</f>
        <v/>
      </c>
      <c r="N277" s="2">
        <f>M277/F277</f>
        <v/>
      </c>
      <c r="O277" s="2">
        <f>I277*J277/60/M277</f>
        <v/>
      </c>
      <c r="P277" s="2">
        <f>K277/J277</f>
        <v/>
      </c>
      <c r="Q277" s="2">
        <f>N277*O277*P277</f>
        <v/>
      </c>
    </row>
    <row r="278">
      <c r="A278" t="inlineStr">
        <is>
          <t>2026-07-12</t>
        </is>
      </c>
      <c r="B278" t="inlineStr">
        <is>
          <t>야간</t>
        </is>
      </c>
      <c r="C278" t="inlineStr">
        <is>
          <t>P1</t>
        </is>
      </c>
      <c r="D278" t="inlineStr">
        <is>
          <t>원료혼합</t>
        </is>
      </c>
      <c r="E278" t="inlineStr">
        <is>
          <t>MX-01</t>
        </is>
      </c>
      <c r="F278" t="n">
        <v>480</v>
      </c>
      <c r="G278" t="n">
        <v>5</v>
      </c>
      <c r="H278" t="inlineStr">
        <is>
          <t>배합 확인</t>
        </is>
      </c>
      <c r="I278" t="n">
        <v>5</v>
      </c>
      <c r="J278" t="n">
        <v>5421</v>
      </c>
      <c r="K278" t="n">
        <v>5389</v>
      </c>
      <c r="L278" t="inlineStr">
        <is>
          <t>L-0701</t>
        </is>
      </c>
      <c r="M278">
        <f>F278-G278</f>
        <v/>
      </c>
      <c r="N278" s="2">
        <f>M278/F278</f>
        <v/>
      </c>
      <c r="O278" s="2">
        <f>I278*J278/60/M278</f>
        <v/>
      </c>
      <c r="P278" s="2">
        <f>K278/J278</f>
        <v/>
      </c>
      <c r="Q278" s="2">
        <f>N278*O278*P278</f>
        <v/>
      </c>
    </row>
    <row r="279">
      <c r="A279" t="inlineStr">
        <is>
          <t>2026-07-12</t>
        </is>
      </c>
      <c r="B279" t="inlineStr">
        <is>
          <t>야간</t>
        </is>
      </c>
      <c r="C279" t="inlineStr">
        <is>
          <t>P1</t>
        </is>
      </c>
      <c r="D279" t="inlineStr">
        <is>
          <t>원료혼합</t>
        </is>
      </c>
      <c r="E279" t="inlineStr">
        <is>
          <t>MX-02</t>
        </is>
      </c>
      <c r="F279" t="n">
        <v>480</v>
      </c>
      <c r="G279" t="n">
        <v>40</v>
      </c>
      <c r="H279" t="inlineStr">
        <is>
          <t>배합 확인</t>
        </is>
      </c>
      <c r="I279" t="n">
        <v>5</v>
      </c>
      <c r="J279" t="n">
        <v>4872</v>
      </c>
      <c r="K279" t="n">
        <v>4838</v>
      </c>
      <c r="L279" t="inlineStr">
        <is>
          <t>L-0701</t>
        </is>
      </c>
      <c r="M279">
        <f>F279-G279</f>
        <v/>
      </c>
      <c r="N279" s="2">
        <f>M279/F279</f>
        <v/>
      </c>
      <c r="O279" s="2">
        <f>I279*J279/60/M279</f>
        <v/>
      </c>
      <c r="P279" s="2">
        <f>K279/J279</f>
        <v/>
      </c>
      <c r="Q279" s="2">
        <f>N279*O279*P279</f>
        <v/>
      </c>
    </row>
    <row r="280">
      <c r="A280" t="inlineStr">
        <is>
          <t>2026-07-12</t>
        </is>
      </c>
      <c r="B280" t="inlineStr">
        <is>
          <t>야간</t>
        </is>
      </c>
      <c r="C280" t="inlineStr">
        <is>
          <t>P2</t>
        </is>
      </c>
      <c r="D280" t="inlineStr">
        <is>
          <t>성형</t>
        </is>
      </c>
      <c r="E280" t="inlineStr">
        <is>
          <t>PR-01</t>
        </is>
      </c>
      <c r="F280" t="n">
        <v>480</v>
      </c>
      <c r="G280" t="n">
        <v>23</v>
      </c>
      <c r="H280" t="inlineStr">
        <is>
          <t>압력 이상</t>
        </is>
      </c>
      <c r="I280" t="n">
        <v>6</v>
      </c>
      <c r="J280" t="n">
        <v>4256</v>
      </c>
      <c r="K280" t="n">
        <v>4212</v>
      </c>
      <c r="L280" t="inlineStr">
        <is>
          <t>L-0701</t>
        </is>
      </c>
      <c r="M280">
        <f>F280-G280</f>
        <v/>
      </c>
      <c r="N280" s="2">
        <f>M280/F280</f>
        <v/>
      </c>
      <c r="O280" s="2">
        <f>I280*J280/60/M280</f>
        <v/>
      </c>
      <c r="P280" s="2">
        <f>K280/J280</f>
        <v/>
      </c>
      <c r="Q280" s="2">
        <f>N280*O280*P280</f>
        <v/>
      </c>
    </row>
    <row r="281">
      <c r="A281" t="inlineStr">
        <is>
          <t>2026-07-12</t>
        </is>
      </c>
      <c r="B281" t="inlineStr">
        <is>
          <t>야간</t>
        </is>
      </c>
      <c r="C281" t="inlineStr">
        <is>
          <t>P2</t>
        </is>
      </c>
      <c r="D281" t="inlineStr">
        <is>
          <t>성형</t>
        </is>
      </c>
      <c r="E281" t="inlineStr">
        <is>
          <t>PR-02</t>
        </is>
      </c>
      <c r="F281" t="n">
        <v>480</v>
      </c>
      <c r="G281" t="n">
        <v>23</v>
      </c>
      <c r="H281" t="inlineStr">
        <is>
          <t>금형 교체</t>
        </is>
      </c>
      <c r="I281" t="n">
        <v>6</v>
      </c>
      <c r="J281" t="n">
        <v>4197</v>
      </c>
      <c r="K281" t="n">
        <v>4147</v>
      </c>
      <c r="L281" t="inlineStr">
        <is>
          <t>L-0701</t>
        </is>
      </c>
      <c r="M281">
        <f>F281-G281</f>
        <v/>
      </c>
      <c r="N281" s="2">
        <f>M281/F281</f>
        <v/>
      </c>
      <c r="O281" s="2">
        <f>I281*J281/60/M281</f>
        <v/>
      </c>
      <c r="P281" s="2">
        <f>K281/J281</f>
        <v/>
      </c>
      <c r="Q281" s="2">
        <f>N281*O281*P281</f>
        <v/>
      </c>
    </row>
    <row r="282">
      <c r="A282" t="inlineStr">
        <is>
          <t>2026-07-12</t>
        </is>
      </c>
      <c r="B282" t="inlineStr">
        <is>
          <t>야간</t>
        </is>
      </c>
      <c r="C282" t="inlineStr">
        <is>
          <t>P3</t>
        </is>
      </c>
      <c r="D282" t="inlineStr">
        <is>
          <t>소결</t>
        </is>
      </c>
      <c r="E282" t="inlineStr">
        <is>
          <t>SF-01</t>
        </is>
      </c>
      <c r="F282" t="n">
        <v>480</v>
      </c>
      <c r="G282" t="n">
        <v>25</v>
      </c>
      <c r="H282" t="inlineStr">
        <is>
          <t>승온 대기</t>
        </is>
      </c>
      <c r="I282" t="n">
        <v>6.5</v>
      </c>
      <c r="J282" t="n">
        <v>3773</v>
      </c>
      <c r="K282" t="n">
        <v>3681</v>
      </c>
      <c r="L282" t="inlineStr">
        <is>
          <t>L-0701</t>
        </is>
      </c>
      <c r="M282">
        <f>F282-G282</f>
        <v/>
      </c>
      <c r="N282" s="2">
        <f>M282/F282</f>
        <v/>
      </c>
      <c r="O282" s="2">
        <f>I282*J282/60/M282</f>
        <v/>
      </c>
      <c r="P282" s="2">
        <f>K282/J282</f>
        <v/>
      </c>
      <c r="Q282" s="2">
        <f>N282*O282*P282</f>
        <v/>
      </c>
    </row>
    <row r="283">
      <c r="A283" t="inlineStr">
        <is>
          <t>2026-07-12</t>
        </is>
      </c>
      <c r="B283" t="inlineStr">
        <is>
          <t>야간</t>
        </is>
      </c>
      <c r="C283" t="inlineStr">
        <is>
          <t>P3</t>
        </is>
      </c>
      <c r="D283" t="inlineStr">
        <is>
          <t>소결</t>
        </is>
      </c>
      <c r="E283" t="inlineStr">
        <is>
          <t>SF-02</t>
        </is>
      </c>
      <c r="F283" t="n">
        <v>480</v>
      </c>
      <c r="G283" t="n">
        <v>44</v>
      </c>
      <c r="H283" t="inlineStr">
        <is>
          <t>승온 대기</t>
        </is>
      </c>
      <c r="I283" t="n">
        <v>6.5</v>
      </c>
      <c r="J283" t="n">
        <v>3615</v>
      </c>
      <c r="K283" t="n">
        <v>3541</v>
      </c>
      <c r="L283" t="inlineStr">
        <is>
          <t>L-0701</t>
        </is>
      </c>
      <c r="M283">
        <f>F283-G283</f>
        <v/>
      </c>
      <c r="N283" s="2">
        <f>M283/F283</f>
        <v/>
      </c>
      <c r="O283" s="2">
        <f>I283*J283/60/M283</f>
        <v/>
      </c>
      <c r="P283" s="2">
        <f>K283/J283</f>
        <v/>
      </c>
      <c r="Q283" s="2">
        <f>N283*O283*P283</f>
        <v/>
      </c>
    </row>
    <row r="284">
      <c r="A284" t="inlineStr">
        <is>
          <t>2026-07-12</t>
        </is>
      </c>
      <c r="B284" t="inlineStr">
        <is>
          <t>야간</t>
        </is>
      </c>
      <c r="C284" t="inlineStr">
        <is>
          <t>P4</t>
        </is>
      </c>
      <c r="D284" t="inlineStr">
        <is>
          <t>연삭</t>
        </is>
      </c>
      <c r="E284" t="inlineStr">
        <is>
          <t>GR-01</t>
        </is>
      </c>
      <c r="F284" t="n">
        <v>480</v>
      </c>
      <c r="G284" t="n">
        <v>58</v>
      </c>
      <c r="H284" t="inlineStr">
        <is>
          <t>드레싱</t>
        </is>
      </c>
      <c r="I284" t="n">
        <v>6.2</v>
      </c>
      <c r="J284" t="n">
        <v>3684</v>
      </c>
      <c r="K284" t="n">
        <v>3644</v>
      </c>
      <c r="L284" t="inlineStr">
        <is>
          <t>L-0701</t>
        </is>
      </c>
      <c r="M284">
        <f>F284-G284</f>
        <v/>
      </c>
      <c r="N284" s="2">
        <f>M284/F284</f>
        <v/>
      </c>
      <c r="O284" s="2">
        <f>I284*J284/60/M284</f>
        <v/>
      </c>
      <c r="P284" s="2">
        <f>K284/J284</f>
        <v/>
      </c>
      <c r="Q284" s="2">
        <f>N284*O284*P284</f>
        <v/>
      </c>
    </row>
    <row r="285">
      <c r="A285" t="inlineStr">
        <is>
          <t>2026-07-12</t>
        </is>
      </c>
      <c r="B285" t="inlineStr">
        <is>
          <t>야간</t>
        </is>
      </c>
      <c r="C285" t="inlineStr">
        <is>
          <t>P4</t>
        </is>
      </c>
      <c r="D285" t="inlineStr">
        <is>
          <t>연삭</t>
        </is>
      </c>
      <c r="E285" t="inlineStr">
        <is>
          <t>GR-02</t>
        </is>
      </c>
      <c r="F285" t="n">
        <v>480</v>
      </c>
      <c r="G285" t="n">
        <v>47</v>
      </c>
      <c r="H285" t="inlineStr">
        <is>
          <t>드레싱</t>
        </is>
      </c>
      <c r="I285" t="n">
        <v>6.2</v>
      </c>
      <c r="J285" t="n">
        <v>3892</v>
      </c>
      <c r="K285" t="n">
        <v>3857</v>
      </c>
      <c r="L285" t="inlineStr">
        <is>
          <t>L-0701</t>
        </is>
      </c>
      <c r="M285">
        <f>F285-G285</f>
        <v/>
      </c>
      <c r="N285" s="2">
        <f>M285/F285</f>
        <v/>
      </c>
      <c r="O285" s="2">
        <f>I285*J285/60/M285</f>
        <v/>
      </c>
      <c r="P285" s="2">
        <f>K285/J285</f>
        <v/>
      </c>
      <c r="Q285" s="2">
        <f>N285*O285*P285</f>
        <v/>
      </c>
    </row>
    <row r="286">
      <c r="A286" t="inlineStr">
        <is>
          <t>2026-07-12</t>
        </is>
      </c>
      <c r="B286" t="inlineStr">
        <is>
          <t>야간</t>
        </is>
      </c>
      <c r="C286" t="inlineStr">
        <is>
          <t>P5</t>
        </is>
      </c>
      <c r="D286" t="inlineStr">
        <is>
          <t>검사</t>
        </is>
      </c>
      <c r="E286" t="inlineStr">
        <is>
          <t>IN-01</t>
        </is>
      </c>
      <c r="F286" t="n">
        <v>480</v>
      </c>
      <c r="G286" t="n">
        <v>22</v>
      </c>
      <c r="H286" t="inlineStr">
        <is>
          <t>샘플 재검</t>
        </is>
      </c>
      <c r="I286" t="n">
        <v>5.5</v>
      </c>
      <c r="J286" t="n">
        <v>4807</v>
      </c>
      <c r="K286" t="n">
        <v>4788</v>
      </c>
      <c r="L286" t="inlineStr">
        <is>
          <t>L-0701</t>
        </is>
      </c>
      <c r="M286">
        <f>F286-G286</f>
        <v/>
      </c>
      <c r="N286" s="2">
        <f>M286/F286</f>
        <v/>
      </c>
      <c r="O286" s="2">
        <f>I286*J286/60/M286</f>
        <v/>
      </c>
      <c r="P286" s="2">
        <f>K286/J286</f>
        <v/>
      </c>
      <c r="Q286" s="2">
        <f>N286*O286*P286</f>
        <v/>
      </c>
    </row>
    <row r="287">
      <c r="A287" t="inlineStr">
        <is>
          <t>2026-07-12</t>
        </is>
      </c>
      <c r="B287" t="inlineStr">
        <is>
          <t>야간</t>
        </is>
      </c>
      <c r="C287" t="inlineStr">
        <is>
          <t>P5</t>
        </is>
      </c>
      <c r="D287" t="inlineStr">
        <is>
          <t>검사</t>
        </is>
      </c>
      <c r="E287" t="inlineStr">
        <is>
          <t>IN-02</t>
        </is>
      </c>
      <c r="F287" t="n">
        <v>480</v>
      </c>
      <c r="G287" t="n">
        <v>9</v>
      </c>
      <c r="H287" t="inlineStr">
        <is>
          <t>샘플 재검</t>
        </is>
      </c>
      <c r="I287" t="n">
        <v>5.5</v>
      </c>
      <c r="J287" t="n">
        <v>4831</v>
      </c>
      <c r="K287" t="n">
        <v>4810</v>
      </c>
      <c r="L287" t="inlineStr">
        <is>
          <t>L-0701</t>
        </is>
      </c>
      <c r="M287">
        <f>F287-G287</f>
        <v/>
      </c>
      <c r="N287" s="2">
        <f>M287/F287</f>
        <v/>
      </c>
      <c r="O287" s="2">
        <f>I287*J287/60/M287</f>
        <v/>
      </c>
      <c r="P287" s="2">
        <f>K287/J287</f>
        <v/>
      </c>
      <c r="Q287" s="2">
        <f>N287*O287*P287</f>
        <v/>
      </c>
    </row>
    <row r="288">
      <c r="A288" t="inlineStr">
        <is>
          <t>2026-07-12</t>
        </is>
      </c>
      <c r="B288" t="inlineStr">
        <is>
          <t>야간</t>
        </is>
      </c>
      <c r="C288" t="inlineStr">
        <is>
          <t>P6</t>
        </is>
      </c>
      <c r="D288" t="inlineStr">
        <is>
          <t>포장</t>
        </is>
      </c>
      <c r="E288" t="inlineStr">
        <is>
          <t>PK-01</t>
        </is>
      </c>
      <c r="F288" t="n">
        <v>480</v>
      </c>
      <c r="G288" t="n">
        <v>31</v>
      </c>
      <c r="H288" t="inlineStr">
        <is>
          <t>자재 대기</t>
        </is>
      </c>
      <c r="I288" t="n">
        <v>4.8</v>
      </c>
      <c r="J288" t="n">
        <v>5229</v>
      </c>
      <c r="K288" t="n">
        <v>5214</v>
      </c>
      <c r="L288" t="inlineStr">
        <is>
          <t>L-0701</t>
        </is>
      </c>
      <c r="M288">
        <f>F288-G288</f>
        <v/>
      </c>
      <c r="N288" s="2">
        <f>M288/F288</f>
        <v/>
      </c>
      <c r="O288" s="2">
        <f>I288*J288/60/M288</f>
        <v/>
      </c>
      <c r="P288" s="2">
        <f>K288/J288</f>
        <v/>
      </c>
      <c r="Q288" s="2">
        <f>N288*O288*P288</f>
        <v/>
      </c>
    </row>
    <row r="289">
      <c r="A289" t="inlineStr">
        <is>
          <t>2026-07-12</t>
        </is>
      </c>
      <c r="B289" t="inlineStr">
        <is>
          <t>야간</t>
        </is>
      </c>
      <c r="C289" t="inlineStr">
        <is>
          <t>P6</t>
        </is>
      </c>
      <c r="D289" t="inlineStr">
        <is>
          <t>포장</t>
        </is>
      </c>
      <c r="E289" t="inlineStr">
        <is>
          <t>PK-02</t>
        </is>
      </c>
      <c r="F289" t="n">
        <v>480</v>
      </c>
      <c r="G289" t="n">
        <v>4</v>
      </c>
      <c r="H289" t="inlineStr">
        <is>
          <t>라벨 교체</t>
        </is>
      </c>
      <c r="I289" t="n">
        <v>4.8</v>
      </c>
      <c r="J289" t="n">
        <v>5630</v>
      </c>
      <c r="K289" t="n">
        <v>5612</v>
      </c>
      <c r="L289" t="inlineStr">
        <is>
          <t>L-0701</t>
        </is>
      </c>
      <c r="M289">
        <f>F289-G289</f>
        <v/>
      </c>
      <c r="N289" s="2">
        <f>M289/F289</f>
        <v/>
      </c>
      <c r="O289" s="2">
        <f>I289*J289/60/M289</f>
        <v/>
      </c>
      <c r="P289" s="2">
        <f>K289/J289</f>
        <v/>
      </c>
      <c r="Q289" s="2">
        <f>N289*O289*P289</f>
        <v/>
      </c>
    </row>
    <row r="290">
      <c r="A290" t="inlineStr">
        <is>
          <t>2026-07-13</t>
        </is>
      </c>
      <c r="B290" t="inlineStr">
        <is>
          <t>주간</t>
        </is>
      </c>
      <c r="C290" t="inlineStr">
        <is>
          <t>P1</t>
        </is>
      </c>
      <c r="D290" t="inlineStr">
        <is>
          <t>원료혼합</t>
        </is>
      </c>
      <c r="E290" t="inlineStr">
        <is>
          <t>MX-01</t>
        </is>
      </c>
      <c r="F290" t="n">
        <v>480</v>
      </c>
      <c r="G290" t="n">
        <v>23</v>
      </c>
      <c r="H290" t="inlineStr">
        <is>
          <t>원료 대기</t>
        </is>
      </c>
      <c r="I290" t="n">
        <v>5</v>
      </c>
      <c r="J290" t="n">
        <v>5200</v>
      </c>
      <c r="K290" t="n">
        <v>5169</v>
      </c>
      <c r="L290" t="inlineStr">
        <is>
          <t>L-0701</t>
        </is>
      </c>
      <c r="M290">
        <f>F290-G290</f>
        <v/>
      </c>
      <c r="N290" s="2">
        <f>M290/F290</f>
        <v/>
      </c>
      <c r="O290" s="2">
        <f>I290*J290/60/M290</f>
        <v/>
      </c>
      <c r="P290" s="2">
        <f>K290/J290</f>
        <v/>
      </c>
      <c r="Q290" s="2">
        <f>N290*O290*P290</f>
        <v/>
      </c>
    </row>
    <row r="291">
      <c r="A291" t="inlineStr">
        <is>
          <t>2026-07-13</t>
        </is>
      </c>
      <c r="B291" t="inlineStr">
        <is>
          <t>주간</t>
        </is>
      </c>
      <c r="C291" t="inlineStr">
        <is>
          <t>P1</t>
        </is>
      </c>
      <c r="D291" t="inlineStr">
        <is>
          <t>원료혼합</t>
        </is>
      </c>
      <c r="E291" t="inlineStr">
        <is>
          <t>MX-02</t>
        </is>
      </c>
      <c r="F291" t="n">
        <v>480</v>
      </c>
      <c r="G291" t="n">
        <v>12</v>
      </c>
      <c r="H291" t="inlineStr">
        <is>
          <t>청소</t>
        </is>
      </c>
      <c r="I291" t="n">
        <v>5</v>
      </c>
      <c r="J291" t="n">
        <v>5439</v>
      </c>
      <c r="K291" t="n">
        <v>5403</v>
      </c>
      <c r="L291" t="inlineStr">
        <is>
          <t>L-0701</t>
        </is>
      </c>
      <c r="M291">
        <f>F291-G291</f>
        <v/>
      </c>
      <c r="N291" s="2">
        <f>M291/F291</f>
        <v/>
      </c>
      <c r="O291" s="2">
        <f>I291*J291/60/M291</f>
        <v/>
      </c>
      <c r="P291" s="2">
        <f>K291/J291</f>
        <v/>
      </c>
      <c r="Q291" s="2">
        <f>N291*O291*P291</f>
        <v/>
      </c>
    </row>
    <row r="292">
      <c r="A292" t="inlineStr">
        <is>
          <t>2026-07-13</t>
        </is>
      </c>
      <c r="B292" t="inlineStr">
        <is>
          <t>주간</t>
        </is>
      </c>
      <c r="C292" t="inlineStr">
        <is>
          <t>P2</t>
        </is>
      </c>
      <c r="D292" t="inlineStr">
        <is>
          <t>성형</t>
        </is>
      </c>
      <c r="E292" t="inlineStr">
        <is>
          <t>PR-01</t>
        </is>
      </c>
      <c r="F292" t="n">
        <v>480</v>
      </c>
      <c r="G292" t="n">
        <v>10</v>
      </c>
      <c r="H292" t="inlineStr">
        <is>
          <t>압력 이상</t>
        </is>
      </c>
      <c r="I292" t="n">
        <v>6</v>
      </c>
      <c r="J292" t="n">
        <v>4653</v>
      </c>
      <c r="K292" t="n">
        <v>4592</v>
      </c>
      <c r="L292" t="inlineStr">
        <is>
          <t>L-0701</t>
        </is>
      </c>
      <c r="M292">
        <f>F292-G292</f>
        <v/>
      </c>
      <c r="N292" s="2">
        <f>M292/F292</f>
        <v/>
      </c>
      <c r="O292" s="2">
        <f>I292*J292/60/M292</f>
        <v/>
      </c>
      <c r="P292" s="2">
        <f>K292/J292</f>
        <v/>
      </c>
      <c r="Q292" s="2">
        <f>N292*O292*P292</f>
        <v/>
      </c>
    </row>
    <row r="293">
      <c r="A293" t="inlineStr">
        <is>
          <t>2026-07-13</t>
        </is>
      </c>
      <c r="B293" t="inlineStr">
        <is>
          <t>주간</t>
        </is>
      </c>
      <c r="C293" t="inlineStr">
        <is>
          <t>P2</t>
        </is>
      </c>
      <c r="D293" t="inlineStr">
        <is>
          <t>성형</t>
        </is>
      </c>
      <c r="E293" t="inlineStr">
        <is>
          <t>PR-02</t>
        </is>
      </c>
      <c r="F293" t="n">
        <v>480</v>
      </c>
      <c r="G293" t="n">
        <v>15</v>
      </c>
      <c r="H293" t="inlineStr">
        <is>
          <t>분말 공급 지연</t>
        </is>
      </c>
      <c r="I293" t="n">
        <v>6</v>
      </c>
      <c r="J293" t="n">
        <v>4466</v>
      </c>
      <c r="K293" t="n">
        <v>4414</v>
      </c>
      <c r="L293" t="inlineStr">
        <is>
          <t>L-0701</t>
        </is>
      </c>
      <c r="M293">
        <f>F293-G293</f>
        <v/>
      </c>
      <c r="N293" s="2">
        <f>M293/F293</f>
        <v/>
      </c>
      <c r="O293" s="2">
        <f>I293*J293/60/M293</f>
        <v/>
      </c>
      <c r="P293" s="2">
        <f>K293/J293</f>
        <v/>
      </c>
      <c r="Q293" s="2">
        <f>N293*O293*P293</f>
        <v/>
      </c>
    </row>
    <row r="294">
      <c r="A294" t="inlineStr">
        <is>
          <t>2026-07-13</t>
        </is>
      </c>
      <c r="B294" t="inlineStr">
        <is>
          <t>주간</t>
        </is>
      </c>
      <c r="C294" t="inlineStr">
        <is>
          <t>P3</t>
        </is>
      </c>
      <c r="D294" t="inlineStr">
        <is>
          <t>소결</t>
        </is>
      </c>
      <c r="E294" t="inlineStr">
        <is>
          <t>SF-01</t>
        </is>
      </c>
      <c r="F294" t="n">
        <v>480</v>
      </c>
      <c r="G294" t="n">
        <v>16</v>
      </c>
      <c r="H294" t="inlineStr">
        <is>
          <t>승온 대기</t>
        </is>
      </c>
      <c r="I294" t="n">
        <v>6.5</v>
      </c>
      <c r="J294" t="n">
        <v>4049</v>
      </c>
      <c r="K294" t="n">
        <v>3938</v>
      </c>
      <c r="L294" t="inlineStr">
        <is>
          <t>L-0701</t>
        </is>
      </c>
      <c r="M294">
        <f>F294-G294</f>
        <v/>
      </c>
      <c r="N294" s="2">
        <f>M294/F294</f>
        <v/>
      </c>
      <c r="O294" s="2">
        <f>I294*J294/60/M294</f>
        <v/>
      </c>
      <c r="P294" s="2">
        <f>K294/J294</f>
        <v/>
      </c>
      <c r="Q294" s="2">
        <f>N294*O294*P294</f>
        <v/>
      </c>
    </row>
    <row r="295">
      <c r="A295" t="inlineStr">
        <is>
          <t>2026-07-13</t>
        </is>
      </c>
      <c r="B295" t="inlineStr">
        <is>
          <t>주간</t>
        </is>
      </c>
      <c r="C295" t="inlineStr">
        <is>
          <t>P3</t>
        </is>
      </c>
      <c r="D295" t="inlineStr">
        <is>
          <t>소결</t>
        </is>
      </c>
      <c r="E295" t="inlineStr">
        <is>
          <t>SF-02</t>
        </is>
      </c>
      <c r="F295" t="n">
        <v>480</v>
      </c>
      <c r="G295" t="n">
        <v>26</v>
      </c>
      <c r="H295" t="inlineStr">
        <is>
          <t>온도 이상 정지</t>
        </is>
      </c>
      <c r="I295" t="n">
        <v>6.5</v>
      </c>
      <c r="J295" t="n">
        <v>3865</v>
      </c>
      <c r="K295" t="n">
        <v>3790</v>
      </c>
      <c r="L295" t="inlineStr">
        <is>
          <t>L-0701</t>
        </is>
      </c>
      <c r="M295">
        <f>F295-G295</f>
        <v/>
      </c>
      <c r="N295" s="2">
        <f>M295/F295</f>
        <v/>
      </c>
      <c r="O295" s="2">
        <f>I295*J295/60/M295</f>
        <v/>
      </c>
      <c r="P295" s="2">
        <f>K295/J295</f>
        <v/>
      </c>
      <c r="Q295" s="2">
        <f>N295*O295*P295</f>
        <v/>
      </c>
    </row>
    <row r="296">
      <c r="A296" t="inlineStr">
        <is>
          <t>2026-07-13</t>
        </is>
      </c>
      <c r="B296" t="inlineStr">
        <is>
          <t>주간</t>
        </is>
      </c>
      <c r="C296" t="inlineStr">
        <is>
          <t>P4</t>
        </is>
      </c>
      <c r="D296" t="inlineStr">
        <is>
          <t>연삭</t>
        </is>
      </c>
      <c r="E296" t="inlineStr">
        <is>
          <t>GR-01</t>
        </is>
      </c>
      <c r="F296" t="n">
        <v>480</v>
      </c>
      <c r="G296" t="n">
        <v>91</v>
      </c>
      <c r="H296" t="inlineStr">
        <is>
          <t>공구 교체</t>
        </is>
      </c>
      <c r="I296" t="n">
        <v>6.2</v>
      </c>
      <c r="J296" t="n">
        <v>3515</v>
      </c>
      <c r="K296" t="n">
        <v>3481</v>
      </c>
      <c r="L296" t="inlineStr">
        <is>
          <t>L-0701</t>
        </is>
      </c>
      <c r="M296">
        <f>F296-G296</f>
        <v/>
      </c>
      <c r="N296" s="2">
        <f>M296/F296</f>
        <v/>
      </c>
      <c r="O296" s="2">
        <f>I296*J296/60/M296</f>
        <v/>
      </c>
      <c r="P296" s="2">
        <f>K296/J296</f>
        <v/>
      </c>
      <c r="Q296" s="2">
        <f>N296*O296*P296</f>
        <v/>
      </c>
    </row>
    <row r="297">
      <c r="A297" t="inlineStr">
        <is>
          <t>2026-07-13</t>
        </is>
      </c>
      <c r="B297" t="inlineStr">
        <is>
          <t>주간</t>
        </is>
      </c>
      <c r="C297" t="inlineStr">
        <is>
          <t>P4</t>
        </is>
      </c>
      <c r="D297" t="inlineStr">
        <is>
          <t>연삭</t>
        </is>
      </c>
      <c r="E297" t="inlineStr">
        <is>
          <t>GR-02</t>
        </is>
      </c>
      <c r="F297" t="n">
        <v>480</v>
      </c>
      <c r="G297" t="n">
        <v>71</v>
      </c>
      <c r="H297" t="inlineStr">
        <is>
          <t>공구 교체</t>
        </is>
      </c>
      <c r="I297" t="n">
        <v>6.2</v>
      </c>
      <c r="J297" t="n">
        <v>3725</v>
      </c>
      <c r="K297" t="n">
        <v>3688</v>
      </c>
      <c r="L297" t="inlineStr">
        <is>
          <t>L-0701</t>
        </is>
      </c>
      <c r="M297">
        <f>F297-G297</f>
        <v/>
      </c>
      <c r="N297" s="2">
        <f>M297/F297</f>
        <v/>
      </c>
      <c r="O297" s="2">
        <f>I297*J297/60/M297</f>
        <v/>
      </c>
      <c r="P297" s="2">
        <f>K297/J297</f>
        <v/>
      </c>
      <c r="Q297" s="2">
        <f>N297*O297*P297</f>
        <v/>
      </c>
    </row>
    <row r="298">
      <c r="A298" t="inlineStr">
        <is>
          <t>2026-07-13</t>
        </is>
      </c>
      <c r="B298" t="inlineStr">
        <is>
          <t>주간</t>
        </is>
      </c>
      <c r="C298" t="inlineStr">
        <is>
          <t>P5</t>
        </is>
      </c>
      <c r="D298" t="inlineStr">
        <is>
          <t>검사</t>
        </is>
      </c>
      <c r="E298" t="inlineStr">
        <is>
          <t>IN-01</t>
        </is>
      </c>
      <c r="F298" t="n">
        <v>480</v>
      </c>
      <c r="G298" t="n">
        <v>2</v>
      </c>
      <c r="H298" t="inlineStr">
        <is>
          <t>측정기 교정</t>
        </is>
      </c>
      <c r="I298" t="n">
        <v>5.5</v>
      </c>
      <c r="J298" t="n">
        <v>4748</v>
      </c>
      <c r="K298" t="n">
        <v>4732</v>
      </c>
      <c r="L298" t="inlineStr">
        <is>
          <t>L-0701</t>
        </is>
      </c>
      <c r="M298">
        <f>F298-G298</f>
        <v/>
      </c>
      <c r="N298" s="2">
        <f>M298/F298</f>
        <v/>
      </c>
      <c r="O298" s="2">
        <f>I298*J298/60/M298</f>
        <v/>
      </c>
      <c r="P298" s="2">
        <f>K298/J298</f>
        <v/>
      </c>
      <c r="Q298" s="2">
        <f>N298*O298*P298</f>
        <v/>
      </c>
    </row>
    <row r="299">
      <c r="A299" t="inlineStr">
        <is>
          <t>2026-07-13</t>
        </is>
      </c>
      <c r="B299" t="inlineStr">
        <is>
          <t>주간</t>
        </is>
      </c>
      <c r="C299" t="inlineStr">
        <is>
          <t>P5</t>
        </is>
      </c>
      <c r="D299" t="inlineStr">
        <is>
          <t>검사</t>
        </is>
      </c>
      <c r="E299" t="inlineStr">
        <is>
          <t>IN-02</t>
        </is>
      </c>
      <c r="F299" t="n">
        <v>480</v>
      </c>
      <c r="G299" t="n">
        <v>4</v>
      </c>
      <c r="H299" t="inlineStr">
        <is>
          <t>샘플 재검</t>
        </is>
      </c>
      <c r="I299" t="n">
        <v>5.5</v>
      </c>
      <c r="J299" t="n">
        <v>4953</v>
      </c>
      <c r="K299" t="n">
        <v>4940</v>
      </c>
      <c r="L299" t="inlineStr">
        <is>
          <t>L-0701</t>
        </is>
      </c>
      <c r="M299">
        <f>F299-G299</f>
        <v/>
      </c>
      <c r="N299" s="2">
        <f>M299/F299</f>
        <v/>
      </c>
      <c r="O299" s="2">
        <f>I299*J299/60/M299</f>
        <v/>
      </c>
      <c r="P299" s="2">
        <f>K299/J299</f>
        <v/>
      </c>
      <c r="Q299" s="2">
        <f>N299*O299*P299</f>
        <v/>
      </c>
    </row>
    <row r="300">
      <c r="A300" t="inlineStr">
        <is>
          <t>2026-07-13</t>
        </is>
      </c>
      <c r="B300" t="inlineStr">
        <is>
          <t>주간</t>
        </is>
      </c>
      <c r="C300" t="inlineStr">
        <is>
          <t>P6</t>
        </is>
      </c>
      <c r="D300" t="inlineStr">
        <is>
          <t>포장</t>
        </is>
      </c>
      <c r="E300" t="inlineStr">
        <is>
          <t>PK-01</t>
        </is>
      </c>
      <c r="F300" t="n">
        <v>480</v>
      </c>
      <c r="G300" t="n">
        <v>24</v>
      </c>
      <c r="H300" t="inlineStr">
        <is>
          <t>자재 대기</t>
        </is>
      </c>
      <c r="I300" t="n">
        <v>4.8</v>
      </c>
      <c r="J300" t="n">
        <v>5371</v>
      </c>
      <c r="K300" t="n">
        <v>5358</v>
      </c>
      <c r="L300" t="inlineStr">
        <is>
          <t>L-0701</t>
        </is>
      </c>
      <c r="M300">
        <f>F300-G300</f>
        <v/>
      </c>
      <c r="N300" s="2">
        <f>M300/F300</f>
        <v/>
      </c>
      <c r="O300" s="2">
        <f>I300*J300/60/M300</f>
        <v/>
      </c>
      <c r="P300" s="2">
        <f>K300/J300</f>
        <v/>
      </c>
      <c r="Q300" s="2">
        <f>N300*O300*P300</f>
        <v/>
      </c>
    </row>
    <row r="301">
      <c r="A301" t="inlineStr">
        <is>
          <t>2026-07-13</t>
        </is>
      </c>
      <c r="B301" t="inlineStr">
        <is>
          <t>주간</t>
        </is>
      </c>
      <c r="C301" t="inlineStr">
        <is>
          <t>P6</t>
        </is>
      </c>
      <c r="D301" t="inlineStr">
        <is>
          <t>포장</t>
        </is>
      </c>
      <c r="E301" t="inlineStr">
        <is>
          <t>PK-02</t>
        </is>
      </c>
      <c r="F301" t="n">
        <v>480</v>
      </c>
      <c r="G301" t="n">
        <v>9</v>
      </c>
      <c r="H301" t="inlineStr">
        <is>
          <t>자재 대기</t>
        </is>
      </c>
      <c r="I301" t="n">
        <v>4.8</v>
      </c>
      <c r="J301" t="n">
        <v>5430</v>
      </c>
      <c r="K301" t="n">
        <v>5420</v>
      </c>
      <c r="L301" t="inlineStr">
        <is>
          <t>L-0701</t>
        </is>
      </c>
      <c r="M301">
        <f>F301-G301</f>
        <v/>
      </c>
      <c r="N301" s="2">
        <f>M301/F301</f>
        <v/>
      </c>
      <c r="O301" s="2">
        <f>I301*J301/60/M301</f>
        <v/>
      </c>
      <c r="P301" s="2">
        <f>K301/J301</f>
        <v/>
      </c>
      <c r="Q301" s="2">
        <f>N301*O301*P301</f>
        <v/>
      </c>
    </row>
    <row r="302">
      <c r="A302" t="inlineStr">
        <is>
          <t>2026-07-13</t>
        </is>
      </c>
      <c r="B302" t="inlineStr">
        <is>
          <t>야간</t>
        </is>
      </c>
      <c r="C302" t="inlineStr">
        <is>
          <t>P1</t>
        </is>
      </c>
      <c r="D302" t="inlineStr">
        <is>
          <t>원료혼합</t>
        </is>
      </c>
      <c r="E302" t="inlineStr">
        <is>
          <t>MX-01</t>
        </is>
      </c>
      <c r="F302" t="n">
        <v>480</v>
      </c>
      <c r="G302" t="n">
        <v>28</v>
      </c>
      <c r="H302" t="inlineStr">
        <is>
          <t>배합 확인</t>
        </is>
      </c>
      <c r="I302" t="n">
        <v>5</v>
      </c>
      <c r="J302" t="n">
        <v>5109</v>
      </c>
      <c r="K302" t="n">
        <v>5077</v>
      </c>
      <c r="L302" t="inlineStr">
        <is>
          <t>L-0701</t>
        </is>
      </c>
      <c r="M302">
        <f>F302-G302</f>
        <v/>
      </c>
      <c r="N302" s="2">
        <f>M302/F302</f>
        <v/>
      </c>
      <c r="O302" s="2">
        <f>I302*J302/60/M302</f>
        <v/>
      </c>
      <c r="P302" s="2">
        <f>K302/J302</f>
        <v/>
      </c>
      <c r="Q302" s="2">
        <f>N302*O302*P302</f>
        <v/>
      </c>
    </row>
    <row r="303">
      <c r="A303" t="inlineStr">
        <is>
          <t>2026-07-13</t>
        </is>
      </c>
      <c r="B303" t="inlineStr">
        <is>
          <t>야간</t>
        </is>
      </c>
      <c r="C303" t="inlineStr">
        <is>
          <t>P1</t>
        </is>
      </c>
      <c r="D303" t="inlineStr">
        <is>
          <t>원료혼합</t>
        </is>
      </c>
      <c r="E303" t="inlineStr">
        <is>
          <t>MX-02</t>
        </is>
      </c>
      <c r="F303" t="n">
        <v>480</v>
      </c>
      <c r="G303" t="n">
        <v>6</v>
      </c>
      <c r="H303" t="inlineStr">
        <is>
          <t>청소</t>
        </is>
      </c>
      <c r="I303" t="n">
        <v>5</v>
      </c>
      <c r="J303" t="n">
        <v>5306</v>
      </c>
      <c r="K303" t="n">
        <v>5259</v>
      </c>
      <c r="L303" t="inlineStr">
        <is>
          <t>L-0701</t>
        </is>
      </c>
      <c r="M303">
        <f>F303-G303</f>
        <v/>
      </c>
      <c r="N303" s="2">
        <f>M303/F303</f>
        <v/>
      </c>
      <c r="O303" s="2">
        <f>I303*J303/60/M303</f>
        <v/>
      </c>
      <c r="P303" s="2">
        <f>K303/J303</f>
        <v/>
      </c>
      <c r="Q303" s="2">
        <f>N303*O303*P303</f>
        <v/>
      </c>
    </row>
    <row r="304">
      <c r="A304" t="inlineStr">
        <is>
          <t>2026-07-13</t>
        </is>
      </c>
      <c r="B304" t="inlineStr">
        <is>
          <t>야간</t>
        </is>
      </c>
      <c r="C304" t="inlineStr">
        <is>
          <t>P2</t>
        </is>
      </c>
      <c r="D304" t="inlineStr">
        <is>
          <t>성형</t>
        </is>
      </c>
      <c r="E304" t="inlineStr">
        <is>
          <t>PR-01</t>
        </is>
      </c>
      <c r="F304" t="n">
        <v>480</v>
      </c>
      <c r="G304" t="n">
        <v>8</v>
      </c>
      <c r="H304" t="inlineStr">
        <is>
          <t>금형 교체</t>
        </is>
      </c>
      <c r="I304" t="n">
        <v>6</v>
      </c>
      <c r="J304" t="n">
        <v>4394</v>
      </c>
      <c r="K304" t="n">
        <v>4327</v>
      </c>
      <c r="L304" t="inlineStr">
        <is>
          <t>L-0701</t>
        </is>
      </c>
      <c r="M304">
        <f>F304-G304</f>
        <v/>
      </c>
      <c r="N304" s="2">
        <f>M304/F304</f>
        <v/>
      </c>
      <c r="O304" s="2">
        <f>I304*J304/60/M304</f>
        <v/>
      </c>
      <c r="P304" s="2">
        <f>K304/J304</f>
        <v/>
      </c>
      <c r="Q304" s="2">
        <f>N304*O304*P304</f>
        <v/>
      </c>
    </row>
    <row r="305">
      <c r="A305" t="inlineStr">
        <is>
          <t>2026-07-13</t>
        </is>
      </c>
      <c r="B305" t="inlineStr">
        <is>
          <t>야간</t>
        </is>
      </c>
      <c r="C305" t="inlineStr">
        <is>
          <t>P2</t>
        </is>
      </c>
      <c r="D305" t="inlineStr">
        <is>
          <t>성형</t>
        </is>
      </c>
      <c r="E305" t="inlineStr">
        <is>
          <t>PR-02</t>
        </is>
      </c>
      <c r="F305" t="n">
        <v>480</v>
      </c>
      <c r="G305" t="n">
        <v>17</v>
      </c>
      <c r="H305" t="inlineStr">
        <is>
          <t>분말 공급 지연</t>
        </is>
      </c>
      <c r="I305" t="n">
        <v>6</v>
      </c>
      <c r="J305" t="n">
        <v>4333</v>
      </c>
      <c r="K305" t="n">
        <v>4279</v>
      </c>
      <c r="L305" t="inlineStr">
        <is>
          <t>L-0701</t>
        </is>
      </c>
      <c r="M305">
        <f>F305-G305</f>
        <v/>
      </c>
      <c r="N305" s="2">
        <f>M305/F305</f>
        <v/>
      </c>
      <c r="O305" s="2">
        <f>I305*J305/60/M305</f>
        <v/>
      </c>
      <c r="P305" s="2">
        <f>K305/J305</f>
        <v/>
      </c>
      <c r="Q305" s="2">
        <f>N305*O305*P305</f>
        <v/>
      </c>
    </row>
    <row r="306">
      <c r="A306" t="inlineStr">
        <is>
          <t>2026-07-13</t>
        </is>
      </c>
      <c r="B306" t="inlineStr">
        <is>
          <t>야간</t>
        </is>
      </c>
      <c r="C306" t="inlineStr">
        <is>
          <t>P3</t>
        </is>
      </c>
      <c r="D306" t="inlineStr">
        <is>
          <t>소결</t>
        </is>
      </c>
      <c r="E306" t="inlineStr">
        <is>
          <t>SF-01</t>
        </is>
      </c>
      <c r="F306" t="n">
        <v>480</v>
      </c>
      <c r="G306" t="n">
        <v>23</v>
      </c>
      <c r="H306" t="inlineStr">
        <is>
          <t>승온 대기</t>
        </is>
      </c>
      <c r="I306" t="n">
        <v>6.5</v>
      </c>
      <c r="J306" t="n">
        <v>3811</v>
      </c>
      <c r="K306" t="n">
        <v>3724</v>
      </c>
      <c r="L306" t="inlineStr">
        <is>
          <t>L-0701</t>
        </is>
      </c>
      <c r="M306">
        <f>F306-G306</f>
        <v/>
      </c>
      <c r="N306" s="2">
        <f>M306/F306</f>
        <v/>
      </c>
      <c r="O306" s="2">
        <f>I306*J306/60/M306</f>
        <v/>
      </c>
      <c r="P306" s="2">
        <f>K306/J306</f>
        <v/>
      </c>
      <c r="Q306" s="2">
        <f>N306*O306*P306</f>
        <v/>
      </c>
    </row>
    <row r="307">
      <c r="A307" t="inlineStr">
        <is>
          <t>2026-07-13</t>
        </is>
      </c>
      <c r="B307" t="inlineStr">
        <is>
          <t>야간</t>
        </is>
      </c>
      <c r="C307" t="inlineStr">
        <is>
          <t>P3</t>
        </is>
      </c>
      <c r="D307" t="inlineStr">
        <is>
          <t>소결</t>
        </is>
      </c>
      <c r="E307" t="inlineStr">
        <is>
          <t>SF-02</t>
        </is>
      </c>
      <c r="F307" t="n">
        <v>480</v>
      </c>
      <c r="G307" t="n">
        <v>51</v>
      </c>
      <c r="H307" t="inlineStr">
        <is>
          <t>장입 대기</t>
        </is>
      </c>
      <c r="I307" t="n">
        <v>6.5</v>
      </c>
      <c r="J307" t="n">
        <v>3739</v>
      </c>
      <c r="K307" t="n">
        <v>3665</v>
      </c>
      <c r="L307" t="inlineStr">
        <is>
          <t>L-0701</t>
        </is>
      </c>
      <c r="M307">
        <f>F307-G307</f>
        <v/>
      </c>
      <c r="N307" s="2">
        <f>M307/F307</f>
        <v/>
      </c>
      <c r="O307" s="2">
        <f>I307*J307/60/M307</f>
        <v/>
      </c>
      <c r="P307" s="2">
        <f>K307/J307</f>
        <v/>
      </c>
      <c r="Q307" s="2">
        <f>N307*O307*P307</f>
        <v/>
      </c>
    </row>
    <row r="308">
      <c r="A308" t="inlineStr">
        <is>
          <t>2026-07-13</t>
        </is>
      </c>
      <c r="B308" t="inlineStr">
        <is>
          <t>야간</t>
        </is>
      </c>
      <c r="C308" t="inlineStr">
        <is>
          <t>P4</t>
        </is>
      </c>
      <c r="D308" t="inlineStr">
        <is>
          <t>연삭</t>
        </is>
      </c>
      <c r="E308" t="inlineStr">
        <is>
          <t>GR-01</t>
        </is>
      </c>
      <c r="F308" t="n">
        <v>480</v>
      </c>
      <c r="G308" t="n">
        <v>53</v>
      </c>
      <c r="H308" t="inlineStr">
        <is>
          <t>공구 교체</t>
        </is>
      </c>
      <c r="I308" t="n">
        <v>6.2</v>
      </c>
      <c r="J308" t="n">
        <v>3873</v>
      </c>
      <c r="K308" t="n">
        <v>3826</v>
      </c>
      <c r="L308" t="inlineStr">
        <is>
          <t>L-0701</t>
        </is>
      </c>
      <c r="M308">
        <f>F308-G308</f>
        <v/>
      </c>
      <c r="N308" s="2">
        <f>M308/F308</f>
        <v/>
      </c>
      <c r="O308" s="2">
        <f>I308*J308/60/M308</f>
        <v/>
      </c>
      <c r="P308" s="2">
        <f>K308/J308</f>
        <v/>
      </c>
      <c r="Q308" s="2">
        <f>N308*O308*P308</f>
        <v/>
      </c>
    </row>
    <row r="309">
      <c r="A309" t="inlineStr">
        <is>
          <t>2026-07-13</t>
        </is>
      </c>
      <c r="B309" t="inlineStr">
        <is>
          <t>야간</t>
        </is>
      </c>
      <c r="C309" t="inlineStr">
        <is>
          <t>P4</t>
        </is>
      </c>
      <c r="D309" t="inlineStr">
        <is>
          <t>연삭</t>
        </is>
      </c>
      <c r="E309" t="inlineStr">
        <is>
          <t>GR-02</t>
        </is>
      </c>
      <c r="F309" t="n">
        <v>480</v>
      </c>
      <c r="G309" t="n">
        <v>58</v>
      </c>
      <c r="H309" t="inlineStr">
        <is>
          <t>공구 교체</t>
        </is>
      </c>
      <c r="I309" t="n">
        <v>6.2</v>
      </c>
      <c r="J309" t="n">
        <v>3761</v>
      </c>
      <c r="K309" t="n">
        <v>3725</v>
      </c>
      <c r="L309" t="inlineStr">
        <is>
          <t>L-0701</t>
        </is>
      </c>
      <c r="M309">
        <f>F309-G309</f>
        <v/>
      </c>
      <c r="N309" s="2">
        <f>M309/F309</f>
        <v/>
      </c>
      <c r="O309" s="2">
        <f>I309*J309/60/M309</f>
        <v/>
      </c>
      <c r="P309" s="2">
        <f>K309/J309</f>
        <v/>
      </c>
      <c r="Q309" s="2">
        <f>N309*O309*P309</f>
        <v/>
      </c>
    </row>
    <row r="310">
      <c r="A310" t="inlineStr">
        <is>
          <t>2026-07-13</t>
        </is>
      </c>
      <c r="B310" t="inlineStr">
        <is>
          <t>야간</t>
        </is>
      </c>
      <c r="C310" t="inlineStr">
        <is>
          <t>P5</t>
        </is>
      </c>
      <c r="D310" t="inlineStr">
        <is>
          <t>검사</t>
        </is>
      </c>
      <c r="E310" t="inlineStr">
        <is>
          <t>IN-01</t>
        </is>
      </c>
      <c r="F310" t="n">
        <v>480</v>
      </c>
      <c r="G310" t="n">
        <v>20</v>
      </c>
      <c r="H310" t="inlineStr">
        <is>
          <t>샘플 재검</t>
        </is>
      </c>
      <c r="I310" t="n">
        <v>5.5</v>
      </c>
      <c r="J310" t="n">
        <v>4646</v>
      </c>
      <c r="K310" t="n">
        <v>4630</v>
      </c>
      <c r="L310" t="inlineStr">
        <is>
          <t>L-0701</t>
        </is>
      </c>
      <c r="M310">
        <f>F310-G310</f>
        <v/>
      </c>
      <c r="N310" s="2">
        <f>M310/F310</f>
        <v/>
      </c>
      <c r="O310" s="2">
        <f>I310*J310/60/M310</f>
        <v/>
      </c>
      <c r="P310" s="2">
        <f>K310/J310</f>
        <v/>
      </c>
      <c r="Q310" s="2">
        <f>N310*O310*P310</f>
        <v/>
      </c>
    </row>
    <row r="311">
      <c r="A311" t="inlineStr">
        <is>
          <t>2026-07-13</t>
        </is>
      </c>
      <c r="B311" t="inlineStr">
        <is>
          <t>야간</t>
        </is>
      </c>
      <c r="C311" t="inlineStr">
        <is>
          <t>P5</t>
        </is>
      </c>
      <c r="D311" t="inlineStr">
        <is>
          <t>검사</t>
        </is>
      </c>
      <c r="E311" t="inlineStr">
        <is>
          <t>IN-02</t>
        </is>
      </c>
      <c r="F311" t="n">
        <v>480</v>
      </c>
      <c r="G311" t="n">
        <v>48</v>
      </c>
      <c r="H311" t="inlineStr">
        <is>
          <t>측정기 교정</t>
        </is>
      </c>
      <c r="I311" t="n">
        <v>5.5</v>
      </c>
      <c r="J311" t="n">
        <v>4407</v>
      </c>
      <c r="K311" t="n">
        <v>4390</v>
      </c>
      <c r="L311" t="inlineStr">
        <is>
          <t>L-0701</t>
        </is>
      </c>
      <c r="M311">
        <f>F311-G311</f>
        <v/>
      </c>
      <c r="N311" s="2">
        <f>M311/F311</f>
        <v/>
      </c>
      <c r="O311" s="2">
        <f>I311*J311/60/M311</f>
        <v/>
      </c>
      <c r="P311" s="2">
        <f>K311/J311</f>
        <v/>
      </c>
      <c r="Q311" s="2">
        <f>N311*O311*P311</f>
        <v/>
      </c>
    </row>
    <row r="312">
      <c r="A312" t="inlineStr">
        <is>
          <t>2026-07-13</t>
        </is>
      </c>
      <c r="B312" t="inlineStr">
        <is>
          <t>야간</t>
        </is>
      </c>
      <c r="C312" t="inlineStr">
        <is>
          <t>P6</t>
        </is>
      </c>
      <c r="D312" t="inlineStr">
        <is>
          <t>포장</t>
        </is>
      </c>
      <c r="E312" t="inlineStr">
        <is>
          <t>PK-01</t>
        </is>
      </c>
      <c r="F312" t="n">
        <v>480</v>
      </c>
      <c r="G312" t="n">
        <v>24</v>
      </c>
      <c r="H312" t="inlineStr">
        <is>
          <t>자재 대기</t>
        </is>
      </c>
      <c r="I312" t="n">
        <v>4.8</v>
      </c>
      <c r="J312" t="n">
        <v>5300</v>
      </c>
      <c r="K312" t="n">
        <v>5285</v>
      </c>
      <c r="L312" t="inlineStr">
        <is>
          <t>L-0701</t>
        </is>
      </c>
      <c r="M312">
        <f>F312-G312</f>
        <v/>
      </c>
      <c r="N312" s="2">
        <f>M312/F312</f>
        <v/>
      </c>
      <c r="O312" s="2">
        <f>I312*J312/60/M312</f>
        <v/>
      </c>
      <c r="P312" s="2">
        <f>K312/J312</f>
        <v/>
      </c>
      <c r="Q312" s="2">
        <f>N312*O312*P312</f>
        <v/>
      </c>
    </row>
    <row r="313">
      <c r="A313" t="inlineStr">
        <is>
          <t>2026-07-13</t>
        </is>
      </c>
      <c r="B313" t="inlineStr">
        <is>
          <t>야간</t>
        </is>
      </c>
      <c r="C313" t="inlineStr">
        <is>
          <t>P6</t>
        </is>
      </c>
      <c r="D313" t="inlineStr">
        <is>
          <t>포장</t>
        </is>
      </c>
      <c r="E313" t="inlineStr">
        <is>
          <t>PK-02</t>
        </is>
      </c>
      <c r="F313" t="n">
        <v>480</v>
      </c>
      <c r="G313" t="n">
        <v>28</v>
      </c>
      <c r="H313" t="inlineStr">
        <is>
          <t>자재 대기</t>
        </is>
      </c>
      <c r="I313" t="n">
        <v>4.8</v>
      </c>
      <c r="J313" t="n">
        <v>5289</v>
      </c>
      <c r="K313" t="n">
        <v>5272</v>
      </c>
      <c r="L313" t="inlineStr">
        <is>
          <t>L-0701</t>
        </is>
      </c>
      <c r="M313">
        <f>F313-G313</f>
        <v/>
      </c>
      <c r="N313" s="2">
        <f>M313/F313</f>
        <v/>
      </c>
      <c r="O313" s="2">
        <f>I313*J313/60/M313</f>
        <v/>
      </c>
      <c r="P313" s="2">
        <f>K313/J313</f>
        <v/>
      </c>
      <c r="Q313" s="2">
        <f>N313*O313*P313</f>
        <v/>
      </c>
    </row>
    <row r="314">
      <c r="A314" t="inlineStr">
        <is>
          <t>2026-07-14</t>
        </is>
      </c>
      <c r="B314" t="inlineStr">
        <is>
          <t>주간</t>
        </is>
      </c>
      <c r="C314" t="inlineStr">
        <is>
          <t>P1</t>
        </is>
      </c>
      <c r="D314" t="inlineStr">
        <is>
          <t>원료혼합</t>
        </is>
      </c>
      <c r="E314" t="inlineStr">
        <is>
          <t>MX-01</t>
        </is>
      </c>
      <c r="F314" t="n">
        <v>480</v>
      </c>
      <c r="G314" t="n">
        <v>17</v>
      </c>
      <c r="H314" t="inlineStr">
        <is>
          <t>원료 대기</t>
        </is>
      </c>
      <c r="I314" t="n">
        <v>5</v>
      </c>
      <c r="J314" t="n">
        <v>5451</v>
      </c>
      <c r="K314" t="n">
        <v>5422</v>
      </c>
      <c r="L314" t="inlineStr">
        <is>
          <t>L-0701</t>
        </is>
      </c>
      <c r="M314">
        <f>F314-G314</f>
        <v/>
      </c>
      <c r="N314" s="2">
        <f>M314/F314</f>
        <v/>
      </c>
      <c r="O314" s="2">
        <f>I314*J314/60/M314</f>
        <v/>
      </c>
      <c r="P314" s="2">
        <f>K314/J314</f>
        <v/>
      </c>
      <c r="Q314" s="2">
        <f>N314*O314*P314</f>
        <v/>
      </c>
    </row>
    <row r="315">
      <c r="A315" t="inlineStr">
        <is>
          <t>2026-07-14</t>
        </is>
      </c>
      <c r="B315" t="inlineStr">
        <is>
          <t>주간</t>
        </is>
      </c>
      <c r="C315" t="inlineStr">
        <is>
          <t>P1</t>
        </is>
      </c>
      <c r="D315" t="inlineStr">
        <is>
          <t>원료혼합</t>
        </is>
      </c>
      <c r="E315" t="inlineStr">
        <is>
          <t>MX-02</t>
        </is>
      </c>
      <c r="F315" t="n">
        <v>480</v>
      </c>
      <c r="G315" t="n">
        <v>11</v>
      </c>
      <c r="H315" t="inlineStr">
        <is>
          <t>원료 대기</t>
        </is>
      </c>
      <c r="I315" t="n">
        <v>5</v>
      </c>
      <c r="J315" t="n">
        <v>5099</v>
      </c>
      <c r="K315" t="n">
        <v>5076</v>
      </c>
      <c r="L315" t="inlineStr">
        <is>
          <t>L-0701</t>
        </is>
      </c>
      <c r="M315">
        <f>F315-G315</f>
        <v/>
      </c>
      <c r="N315" s="2">
        <f>M315/F315</f>
        <v/>
      </c>
      <c r="O315" s="2">
        <f>I315*J315/60/M315</f>
        <v/>
      </c>
      <c r="P315" s="2">
        <f>K315/J315</f>
        <v/>
      </c>
      <c r="Q315" s="2">
        <f>N315*O315*P315</f>
        <v/>
      </c>
    </row>
    <row r="316">
      <c r="A316" t="inlineStr">
        <is>
          <t>2026-07-14</t>
        </is>
      </c>
      <c r="B316" t="inlineStr">
        <is>
          <t>주간</t>
        </is>
      </c>
      <c r="C316" t="inlineStr">
        <is>
          <t>P2</t>
        </is>
      </c>
      <c r="D316" t="inlineStr">
        <is>
          <t>성형</t>
        </is>
      </c>
      <c r="E316" t="inlineStr">
        <is>
          <t>PR-01</t>
        </is>
      </c>
      <c r="F316" t="n">
        <v>480</v>
      </c>
      <c r="G316" t="n">
        <v>5</v>
      </c>
      <c r="H316" t="inlineStr">
        <is>
          <t>분말 공급 지연</t>
        </is>
      </c>
      <c r="I316" t="n">
        <v>6</v>
      </c>
      <c r="J316" t="n">
        <v>4281</v>
      </c>
      <c r="K316" t="n">
        <v>4241</v>
      </c>
      <c r="L316" t="inlineStr">
        <is>
          <t>L-0701</t>
        </is>
      </c>
      <c r="M316">
        <f>F316-G316</f>
        <v/>
      </c>
      <c r="N316" s="2">
        <f>M316/F316</f>
        <v/>
      </c>
      <c r="O316" s="2">
        <f>I316*J316/60/M316</f>
        <v/>
      </c>
      <c r="P316" s="2">
        <f>K316/J316</f>
        <v/>
      </c>
      <c r="Q316" s="2">
        <f>N316*O316*P316</f>
        <v/>
      </c>
    </row>
    <row r="317">
      <c r="A317" t="inlineStr">
        <is>
          <t>2026-07-14</t>
        </is>
      </c>
      <c r="B317" t="inlineStr">
        <is>
          <t>주간</t>
        </is>
      </c>
      <c r="C317" t="inlineStr">
        <is>
          <t>P2</t>
        </is>
      </c>
      <c r="D317" t="inlineStr">
        <is>
          <t>성형</t>
        </is>
      </c>
      <c r="E317" t="inlineStr">
        <is>
          <t>PR-02</t>
        </is>
      </c>
      <c r="F317" t="n">
        <v>480</v>
      </c>
      <c r="G317" t="n">
        <v>24</v>
      </c>
      <c r="H317" t="inlineStr">
        <is>
          <t>압력 이상</t>
        </is>
      </c>
      <c r="I317" t="n">
        <v>6</v>
      </c>
      <c r="J317" t="n">
        <v>4324</v>
      </c>
      <c r="K317" t="n">
        <v>4278</v>
      </c>
      <c r="L317" t="inlineStr">
        <is>
          <t>L-0701</t>
        </is>
      </c>
      <c r="M317">
        <f>F317-G317</f>
        <v/>
      </c>
      <c r="N317" s="2">
        <f>M317/F317</f>
        <v/>
      </c>
      <c r="O317" s="2">
        <f>I317*J317/60/M317</f>
        <v/>
      </c>
      <c r="P317" s="2">
        <f>K317/J317</f>
        <v/>
      </c>
      <c r="Q317" s="2">
        <f>N317*O317*P317</f>
        <v/>
      </c>
    </row>
    <row r="318">
      <c r="A318" t="inlineStr">
        <is>
          <t>2026-07-14</t>
        </is>
      </c>
      <c r="B318" t="inlineStr">
        <is>
          <t>주간</t>
        </is>
      </c>
      <c r="C318" t="inlineStr">
        <is>
          <t>P3</t>
        </is>
      </c>
      <c r="D318" t="inlineStr">
        <is>
          <t>소결</t>
        </is>
      </c>
      <c r="E318" t="inlineStr">
        <is>
          <t>SF-01</t>
        </is>
      </c>
      <c r="F318" t="n">
        <v>480</v>
      </c>
      <c r="G318" t="n">
        <v>46</v>
      </c>
      <c r="H318" t="inlineStr">
        <is>
          <t>온도 이상 정지</t>
        </is>
      </c>
      <c r="I318" t="n">
        <v>6.5</v>
      </c>
      <c r="J318" t="n">
        <v>3705</v>
      </c>
      <c r="K318" t="n">
        <v>3627</v>
      </c>
      <c r="L318" t="inlineStr">
        <is>
          <t>L-0701</t>
        </is>
      </c>
      <c r="M318">
        <f>F318-G318</f>
        <v/>
      </c>
      <c r="N318" s="2">
        <f>M318/F318</f>
        <v/>
      </c>
      <c r="O318" s="2">
        <f>I318*J318/60/M318</f>
        <v/>
      </c>
      <c r="P318" s="2">
        <f>K318/J318</f>
        <v/>
      </c>
      <c r="Q318" s="2">
        <f>N318*O318*P318</f>
        <v/>
      </c>
    </row>
    <row r="319">
      <c r="A319" t="inlineStr">
        <is>
          <t>2026-07-14</t>
        </is>
      </c>
      <c r="B319" t="inlineStr">
        <is>
          <t>주간</t>
        </is>
      </c>
      <c r="C319" t="inlineStr">
        <is>
          <t>P3</t>
        </is>
      </c>
      <c r="D319" t="inlineStr">
        <is>
          <t>소결</t>
        </is>
      </c>
      <c r="E319" t="inlineStr">
        <is>
          <t>SF-02</t>
        </is>
      </c>
      <c r="F319" t="n">
        <v>480</v>
      </c>
      <c r="G319" t="n">
        <v>36</v>
      </c>
      <c r="H319" t="inlineStr">
        <is>
          <t>온도 이상 정지</t>
        </is>
      </c>
      <c r="I319" t="n">
        <v>6.5</v>
      </c>
      <c r="J319" t="n">
        <v>3907</v>
      </c>
      <c r="K319" t="n">
        <v>3834</v>
      </c>
      <c r="L319" t="inlineStr">
        <is>
          <t>L-0701</t>
        </is>
      </c>
      <c r="M319">
        <f>F319-G319</f>
        <v/>
      </c>
      <c r="N319" s="2">
        <f>M319/F319</f>
        <v/>
      </c>
      <c r="O319" s="2">
        <f>I319*J319/60/M319</f>
        <v/>
      </c>
      <c r="P319" s="2">
        <f>K319/J319</f>
        <v/>
      </c>
      <c r="Q319" s="2">
        <f>N319*O319*P319</f>
        <v/>
      </c>
    </row>
    <row r="320">
      <c r="A320" t="inlineStr">
        <is>
          <t>2026-07-14</t>
        </is>
      </c>
      <c r="B320" t="inlineStr">
        <is>
          <t>주간</t>
        </is>
      </c>
      <c r="C320" t="inlineStr">
        <is>
          <t>P4</t>
        </is>
      </c>
      <c r="D320" t="inlineStr">
        <is>
          <t>연삭</t>
        </is>
      </c>
      <c r="E320" t="inlineStr">
        <is>
          <t>GR-01</t>
        </is>
      </c>
      <c r="F320" t="n">
        <v>480</v>
      </c>
      <c r="G320" t="n">
        <v>66</v>
      </c>
      <c r="H320" t="inlineStr">
        <is>
          <t>드레싱</t>
        </is>
      </c>
      <c r="I320" t="n">
        <v>6.2</v>
      </c>
      <c r="J320" t="n">
        <v>3775</v>
      </c>
      <c r="K320" t="n">
        <v>3743</v>
      </c>
      <c r="L320" t="inlineStr">
        <is>
          <t>L-0701</t>
        </is>
      </c>
      <c r="M320">
        <f>F320-G320</f>
        <v/>
      </c>
      <c r="N320" s="2">
        <f>M320/F320</f>
        <v/>
      </c>
      <c r="O320" s="2">
        <f>I320*J320/60/M320</f>
        <v/>
      </c>
      <c r="P320" s="2">
        <f>K320/J320</f>
        <v/>
      </c>
      <c r="Q320" s="2">
        <f>N320*O320*P320</f>
        <v/>
      </c>
    </row>
    <row r="321">
      <c r="A321" t="inlineStr">
        <is>
          <t>2026-07-14</t>
        </is>
      </c>
      <c r="B321" t="inlineStr">
        <is>
          <t>주간</t>
        </is>
      </c>
      <c r="C321" t="inlineStr">
        <is>
          <t>P4</t>
        </is>
      </c>
      <c r="D321" t="inlineStr">
        <is>
          <t>연삭</t>
        </is>
      </c>
      <c r="E321" t="inlineStr">
        <is>
          <t>GR-02</t>
        </is>
      </c>
      <c r="F321" t="n">
        <v>480</v>
      </c>
      <c r="G321" t="n">
        <v>65</v>
      </c>
      <c r="H321" t="inlineStr">
        <is>
          <t>공구 교체</t>
        </is>
      </c>
      <c r="I321" t="n">
        <v>6.2</v>
      </c>
      <c r="J321" t="n">
        <v>3774</v>
      </c>
      <c r="K321" t="n">
        <v>3736</v>
      </c>
      <c r="L321" t="inlineStr">
        <is>
          <t>L-0701</t>
        </is>
      </c>
      <c r="M321">
        <f>F321-G321</f>
        <v/>
      </c>
      <c r="N321" s="2">
        <f>M321/F321</f>
        <v/>
      </c>
      <c r="O321" s="2">
        <f>I321*J321/60/M321</f>
        <v/>
      </c>
      <c r="P321" s="2">
        <f>K321/J321</f>
        <v/>
      </c>
      <c r="Q321" s="2">
        <f>N321*O321*P321</f>
        <v/>
      </c>
    </row>
    <row r="322">
      <c r="A322" t="inlineStr">
        <is>
          <t>2026-07-14</t>
        </is>
      </c>
      <c r="B322" t="inlineStr">
        <is>
          <t>주간</t>
        </is>
      </c>
      <c r="C322" t="inlineStr">
        <is>
          <t>P5</t>
        </is>
      </c>
      <c r="D322" t="inlineStr">
        <is>
          <t>검사</t>
        </is>
      </c>
      <c r="E322" t="inlineStr">
        <is>
          <t>IN-01</t>
        </is>
      </c>
      <c r="F322" t="n">
        <v>480</v>
      </c>
      <c r="G322" t="n">
        <v>18</v>
      </c>
      <c r="H322" t="inlineStr">
        <is>
          <t>측정기 교정</t>
        </is>
      </c>
      <c r="I322" t="n">
        <v>5.5</v>
      </c>
      <c r="J322" t="n">
        <v>4570</v>
      </c>
      <c r="K322" t="n">
        <v>4557</v>
      </c>
      <c r="L322" t="inlineStr">
        <is>
          <t>L-0701</t>
        </is>
      </c>
      <c r="M322">
        <f>F322-G322</f>
        <v/>
      </c>
      <c r="N322" s="2">
        <f>M322/F322</f>
        <v/>
      </c>
      <c r="O322" s="2">
        <f>I322*J322/60/M322</f>
        <v/>
      </c>
      <c r="P322" s="2">
        <f>K322/J322</f>
        <v/>
      </c>
      <c r="Q322" s="2">
        <f>N322*O322*P322</f>
        <v/>
      </c>
    </row>
    <row r="323">
      <c r="A323" t="inlineStr">
        <is>
          <t>2026-07-14</t>
        </is>
      </c>
      <c r="B323" t="inlineStr">
        <is>
          <t>주간</t>
        </is>
      </c>
      <c r="C323" t="inlineStr">
        <is>
          <t>P5</t>
        </is>
      </c>
      <c r="D323" t="inlineStr">
        <is>
          <t>검사</t>
        </is>
      </c>
      <c r="E323" t="inlineStr">
        <is>
          <t>IN-02</t>
        </is>
      </c>
      <c r="F323" t="n">
        <v>480</v>
      </c>
      <c r="G323" t="n">
        <v>40</v>
      </c>
      <c r="H323" t="inlineStr">
        <is>
          <t>측정기 교정</t>
        </is>
      </c>
      <c r="I323" t="n">
        <v>5.5</v>
      </c>
      <c r="J323" t="n">
        <v>4465</v>
      </c>
      <c r="K323" t="n">
        <v>4451</v>
      </c>
      <c r="L323" t="inlineStr">
        <is>
          <t>L-0701</t>
        </is>
      </c>
      <c r="M323">
        <f>F323-G323</f>
        <v/>
      </c>
      <c r="N323" s="2">
        <f>M323/F323</f>
        <v/>
      </c>
      <c r="O323" s="2">
        <f>I323*J323/60/M323</f>
        <v/>
      </c>
      <c r="P323" s="2">
        <f>K323/J323</f>
        <v/>
      </c>
      <c r="Q323" s="2">
        <f>N323*O323*P323</f>
        <v/>
      </c>
    </row>
    <row r="324">
      <c r="A324" t="inlineStr">
        <is>
          <t>2026-07-14</t>
        </is>
      </c>
      <c r="B324" t="inlineStr">
        <is>
          <t>주간</t>
        </is>
      </c>
      <c r="C324" t="inlineStr">
        <is>
          <t>P6</t>
        </is>
      </c>
      <c r="D324" t="inlineStr">
        <is>
          <t>포장</t>
        </is>
      </c>
      <c r="E324" t="inlineStr">
        <is>
          <t>PK-01</t>
        </is>
      </c>
      <c r="F324" t="n">
        <v>480</v>
      </c>
      <c r="G324" t="n">
        <v>2</v>
      </c>
      <c r="H324" t="inlineStr">
        <is>
          <t>라벨 교체</t>
        </is>
      </c>
      <c r="I324" t="n">
        <v>4.8</v>
      </c>
      <c r="J324" t="n">
        <v>5685</v>
      </c>
      <c r="K324" t="n">
        <v>5675</v>
      </c>
      <c r="L324" t="inlineStr">
        <is>
          <t>L-0701</t>
        </is>
      </c>
      <c r="M324">
        <f>F324-G324</f>
        <v/>
      </c>
      <c r="N324" s="2">
        <f>M324/F324</f>
        <v/>
      </c>
      <c r="O324" s="2">
        <f>I324*J324/60/M324</f>
        <v/>
      </c>
      <c r="P324" s="2">
        <f>K324/J324</f>
        <v/>
      </c>
      <c r="Q324" s="2">
        <f>N324*O324*P324</f>
        <v/>
      </c>
    </row>
    <row r="325">
      <c r="A325" t="inlineStr">
        <is>
          <t>2026-07-14</t>
        </is>
      </c>
      <c r="B325" t="inlineStr">
        <is>
          <t>주간</t>
        </is>
      </c>
      <c r="C325" t="inlineStr">
        <is>
          <t>P6</t>
        </is>
      </c>
      <c r="D325" t="inlineStr">
        <is>
          <t>포장</t>
        </is>
      </c>
      <c r="E325" t="inlineStr">
        <is>
          <t>PK-02</t>
        </is>
      </c>
      <c r="F325" t="n">
        <v>480</v>
      </c>
      <c r="G325" t="n">
        <v>11</v>
      </c>
      <c r="H325" t="inlineStr">
        <is>
          <t>자재 대기</t>
        </is>
      </c>
      <c r="I325" t="n">
        <v>4.8</v>
      </c>
      <c r="J325" t="n">
        <v>5459</v>
      </c>
      <c r="K325" t="n">
        <v>5448</v>
      </c>
      <c r="L325" t="inlineStr">
        <is>
          <t>L-0701</t>
        </is>
      </c>
      <c r="M325">
        <f>F325-G325</f>
        <v/>
      </c>
      <c r="N325" s="2">
        <f>M325/F325</f>
        <v/>
      </c>
      <c r="O325" s="2">
        <f>I325*J325/60/M325</f>
        <v/>
      </c>
      <c r="P325" s="2">
        <f>K325/J325</f>
        <v/>
      </c>
      <c r="Q325" s="2">
        <f>N325*O325*P325</f>
        <v/>
      </c>
    </row>
    <row r="326">
      <c r="A326" t="inlineStr">
        <is>
          <t>2026-07-14</t>
        </is>
      </c>
      <c r="B326" t="inlineStr">
        <is>
          <t>야간</t>
        </is>
      </c>
      <c r="C326" t="inlineStr">
        <is>
          <t>P1</t>
        </is>
      </c>
      <c r="D326" t="inlineStr">
        <is>
          <t>원료혼합</t>
        </is>
      </c>
      <c r="E326" t="inlineStr">
        <is>
          <t>MX-01</t>
        </is>
      </c>
      <c r="F326" t="n">
        <v>480</v>
      </c>
      <c r="G326" t="n">
        <v>16</v>
      </c>
      <c r="H326" t="inlineStr">
        <is>
          <t>원료 대기</t>
        </is>
      </c>
      <c r="I326" t="n">
        <v>5</v>
      </c>
      <c r="J326" t="n">
        <v>5203</v>
      </c>
      <c r="K326" t="n">
        <v>5172</v>
      </c>
      <c r="L326" t="inlineStr">
        <is>
          <t>L-0701</t>
        </is>
      </c>
      <c r="M326">
        <f>F326-G326</f>
        <v/>
      </c>
      <c r="N326" s="2">
        <f>M326/F326</f>
        <v/>
      </c>
      <c r="O326" s="2">
        <f>I326*J326/60/M326</f>
        <v/>
      </c>
      <c r="P326" s="2">
        <f>K326/J326</f>
        <v/>
      </c>
      <c r="Q326" s="2">
        <f>N326*O326*P326</f>
        <v/>
      </c>
    </row>
    <row r="327">
      <c r="A327" t="inlineStr">
        <is>
          <t>2026-07-14</t>
        </is>
      </c>
      <c r="B327" t="inlineStr">
        <is>
          <t>야간</t>
        </is>
      </c>
      <c r="C327" t="inlineStr">
        <is>
          <t>P1</t>
        </is>
      </c>
      <c r="D327" t="inlineStr">
        <is>
          <t>원료혼합</t>
        </is>
      </c>
      <c r="E327" t="inlineStr">
        <is>
          <t>MX-02</t>
        </is>
      </c>
      <c r="F327" t="n">
        <v>480</v>
      </c>
      <c r="G327" t="n">
        <v>9</v>
      </c>
      <c r="H327" t="inlineStr">
        <is>
          <t>청소</t>
        </is>
      </c>
      <c r="I327" t="n">
        <v>5</v>
      </c>
      <c r="J327" t="n">
        <v>5315</v>
      </c>
      <c r="K327" t="n">
        <v>5276</v>
      </c>
      <c r="L327" t="inlineStr">
        <is>
          <t>L-0701</t>
        </is>
      </c>
      <c r="M327">
        <f>F327-G327</f>
        <v/>
      </c>
      <c r="N327" s="2">
        <f>M327/F327</f>
        <v/>
      </c>
      <c r="O327" s="2">
        <f>I327*J327/60/M327</f>
        <v/>
      </c>
      <c r="P327" s="2">
        <f>K327/J327</f>
        <v/>
      </c>
      <c r="Q327" s="2">
        <f>N327*O327*P327</f>
        <v/>
      </c>
    </row>
    <row r="328">
      <c r="A328" t="inlineStr">
        <is>
          <t>2026-07-14</t>
        </is>
      </c>
      <c r="B328" t="inlineStr">
        <is>
          <t>야간</t>
        </is>
      </c>
      <c r="C328" t="inlineStr">
        <is>
          <t>P2</t>
        </is>
      </c>
      <c r="D328" t="inlineStr">
        <is>
          <t>성형</t>
        </is>
      </c>
      <c r="E328" t="inlineStr">
        <is>
          <t>PR-01</t>
        </is>
      </c>
      <c r="F328" t="n">
        <v>480</v>
      </c>
      <c r="G328" t="n">
        <v>26</v>
      </c>
      <c r="H328" t="inlineStr">
        <is>
          <t>분말 공급 지연</t>
        </is>
      </c>
      <c r="I328" t="n">
        <v>6</v>
      </c>
      <c r="J328" t="n">
        <v>4368</v>
      </c>
      <c r="K328" t="n">
        <v>4314</v>
      </c>
      <c r="L328" t="inlineStr">
        <is>
          <t>L-0701</t>
        </is>
      </c>
      <c r="M328">
        <f>F328-G328</f>
        <v/>
      </c>
      <c r="N328" s="2">
        <f>M328/F328</f>
        <v/>
      </c>
      <c r="O328" s="2">
        <f>I328*J328/60/M328</f>
        <v/>
      </c>
      <c r="P328" s="2">
        <f>K328/J328</f>
        <v/>
      </c>
      <c r="Q328" s="2">
        <f>N328*O328*P328</f>
        <v/>
      </c>
    </row>
    <row r="329">
      <c r="A329" t="inlineStr">
        <is>
          <t>2026-07-14</t>
        </is>
      </c>
      <c r="B329" t="inlineStr">
        <is>
          <t>야간</t>
        </is>
      </c>
      <c r="C329" t="inlineStr">
        <is>
          <t>P2</t>
        </is>
      </c>
      <c r="D329" t="inlineStr">
        <is>
          <t>성형</t>
        </is>
      </c>
      <c r="E329" t="inlineStr">
        <is>
          <t>PR-02</t>
        </is>
      </c>
      <c r="F329" t="n">
        <v>480</v>
      </c>
      <c r="G329" t="n">
        <v>5</v>
      </c>
      <c r="H329" t="inlineStr">
        <is>
          <t>금형 교체</t>
        </is>
      </c>
      <c r="I329" t="n">
        <v>6</v>
      </c>
      <c r="J329" t="n">
        <v>4492</v>
      </c>
      <c r="K329" t="n">
        <v>4437</v>
      </c>
      <c r="L329" t="inlineStr">
        <is>
          <t>L-0701</t>
        </is>
      </c>
      <c r="M329">
        <f>F329-G329</f>
        <v/>
      </c>
      <c r="N329" s="2">
        <f>M329/F329</f>
        <v/>
      </c>
      <c r="O329" s="2">
        <f>I329*J329/60/M329</f>
        <v/>
      </c>
      <c r="P329" s="2">
        <f>K329/J329</f>
        <v/>
      </c>
      <c r="Q329" s="2">
        <f>N329*O329*P329</f>
        <v/>
      </c>
    </row>
    <row r="330">
      <c r="A330" t="inlineStr">
        <is>
          <t>2026-07-14</t>
        </is>
      </c>
      <c r="B330" t="inlineStr">
        <is>
          <t>야간</t>
        </is>
      </c>
      <c r="C330" t="inlineStr">
        <is>
          <t>P3</t>
        </is>
      </c>
      <c r="D330" t="inlineStr">
        <is>
          <t>소결</t>
        </is>
      </c>
      <c r="E330" t="inlineStr">
        <is>
          <t>SF-01</t>
        </is>
      </c>
      <c r="F330" t="n">
        <v>480</v>
      </c>
      <c r="G330" t="n">
        <v>68</v>
      </c>
      <c r="H330" t="inlineStr">
        <is>
          <t>승온 대기</t>
        </is>
      </c>
      <c r="I330" t="n">
        <v>6.5</v>
      </c>
      <c r="J330" t="n">
        <v>3483</v>
      </c>
      <c r="K330" t="n">
        <v>3366</v>
      </c>
      <c r="L330" t="inlineStr">
        <is>
          <t>L-0701</t>
        </is>
      </c>
      <c r="M330">
        <f>F330-G330</f>
        <v/>
      </c>
      <c r="N330" s="2">
        <f>M330/F330</f>
        <v/>
      </c>
      <c r="O330" s="2">
        <f>I330*J330/60/M330</f>
        <v/>
      </c>
      <c r="P330" s="2">
        <f>K330/J330</f>
        <v/>
      </c>
      <c r="Q330" s="2">
        <f>N330*O330*P330</f>
        <v/>
      </c>
    </row>
    <row r="331">
      <c r="A331" t="inlineStr">
        <is>
          <t>2026-07-14</t>
        </is>
      </c>
      <c r="B331" t="inlineStr">
        <is>
          <t>야간</t>
        </is>
      </c>
      <c r="C331" t="inlineStr">
        <is>
          <t>P3</t>
        </is>
      </c>
      <c r="D331" t="inlineStr">
        <is>
          <t>소결</t>
        </is>
      </c>
      <c r="E331" t="inlineStr">
        <is>
          <t>SF-02</t>
        </is>
      </c>
      <c r="F331" t="n">
        <v>480</v>
      </c>
      <c r="G331" t="n">
        <v>29</v>
      </c>
      <c r="H331" t="inlineStr">
        <is>
          <t>재가열</t>
        </is>
      </c>
      <c r="I331" t="n">
        <v>6.5</v>
      </c>
      <c r="J331" t="n">
        <v>3880</v>
      </c>
      <c r="K331" t="n">
        <v>3815</v>
      </c>
      <c r="L331" t="inlineStr">
        <is>
          <t>L-0701</t>
        </is>
      </c>
      <c r="M331">
        <f>F331-G331</f>
        <v/>
      </c>
      <c r="N331" s="2">
        <f>M331/F331</f>
        <v/>
      </c>
      <c r="O331" s="2">
        <f>I331*J331/60/M331</f>
        <v/>
      </c>
      <c r="P331" s="2">
        <f>K331/J331</f>
        <v/>
      </c>
      <c r="Q331" s="2">
        <f>N331*O331*P331</f>
        <v/>
      </c>
    </row>
    <row r="332">
      <c r="A332" t="inlineStr">
        <is>
          <t>2026-07-14</t>
        </is>
      </c>
      <c r="B332" t="inlineStr">
        <is>
          <t>야간</t>
        </is>
      </c>
      <c r="C332" t="inlineStr">
        <is>
          <t>P4</t>
        </is>
      </c>
      <c r="D332" t="inlineStr">
        <is>
          <t>연삭</t>
        </is>
      </c>
      <c r="E332" t="inlineStr">
        <is>
          <t>GR-01</t>
        </is>
      </c>
      <c r="F332" t="n">
        <v>480</v>
      </c>
      <c r="G332" t="n">
        <v>82</v>
      </c>
      <c r="H332" t="inlineStr">
        <is>
          <t>공구 교체</t>
        </is>
      </c>
      <c r="I332" t="n">
        <v>6.2</v>
      </c>
      <c r="J332" t="n">
        <v>3369</v>
      </c>
      <c r="K332" t="n">
        <v>3320</v>
      </c>
      <c r="L332" t="inlineStr">
        <is>
          <t>L-0701</t>
        </is>
      </c>
      <c r="M332">
        <f>F332-G332</f>
        <v/>
      </c>
      <c r="N332" s="2">
        <f>M332/F332</f>
        <v/>
      </c>
      <c r="O332" s="2">
        <f>I332*J332/60/M332</f>
        <v/>
      </c>
      <c r="P332" s="2">
        <f>K332/J332</f>
        <v/>
      </c>
      <c r="Q332" s="2">
        <f>N332*O332*P332</f>
        <v/>
      </c>
    </row>
    <row r="333">
      <c r="A333" t="inlineStr">
        <is>
          <t>2026-07-14</t>
        </is>
      </c>
      <c r="B333" t="inlineStr">
        <is>
          <t>야간</t>
        </is>
      </c>
      <c r="C333" t="inlineStr">
        <is>
          <t>P4</t>
        </is>
      </c>
      <c r="D333" t="inlineStr">
        <is>
          <t>연삭</t>
        </is>
      </c>
      <c r="E333" t="inlineStr">
        <is>
          <t>GR-02</t>
        </is>
      </c>
      <c r="F333" t="n">
        <v>480</v>
      </c>
      <c r="G333" t="n">
        <v>76</v>
      </c>
      <c r="H333" t="inlineStr">
        <is>
          <t>드레싱</t>
        </is>
      </c>
      <c r="I333" t="n">
        <v>6.2</v>
      </c>
      <c r="J333" t="n">
        <v>3700</v>
      </c>
      <c r="K333" t="n">
        <v>3657</v>
      </c>
      <c r="L333" t="inlineStr">
        <is>
          <t>L-0701</t>
        </is>
      </c>
      <c r="M333">
        <f>F333-G333</f>
        <v/>
      </c>
      <c r="N333" s="2">
        <f>M333/F333</f>
        <v/>
      </c>
      <c r="O333" s="2">
        <f>I333*J333/60/M333</f>
        <v/>
      </c>
      <c r="P333" s="2">
        <f>K333/J333</f>
        <v/>
      </c>
      <c r="Q333" s="2">
        <f>N333*O333*P333</f>
        <v/>
      </c>
    </row>
    <row r="334">
      <c r="A334" t="inlineStr">
        <is>
          <t>2026-07-14</t>
        </is>
      </c>
      <c r="B334" t="inlineStr">
        <is>
          <t>야간</t>
        </is>
      </c>
      <c r="C334" t="inlineStr">
        <is>
          <t>P5</t>
        </is>
      </c>
      <c r="D334" t="inlineStr">
        <is>
          <t>검사</t>
        </is>
      </c>
      <c r="E334" t="inlineStr">
        <is>
          <t>IN-01</t>
        </is>
      </c>
      <c r="F334" t="n">
        <v>480</v>
      </c>
      <c r="G334" t="n">
        <v>17</v>
      </c>
      <c r="H334" t="inlineStr">
        <is>
          <t>측정기 교정</t>
        </is>
      </c>
      <c r="I334" t="n">
        <v>5.5</v>
      </c>
      <c r="J334" t="n">
        <v>4925</v>
      </c>
      <c r="K334" t="n">
        <v>4905</v>
      </c>
      <c r="L334" t="inlineStr">
        <is>
          <t>L-0701</t>
        </is>
      </c>
      <c r="M334">
        <f>F334-G334</f>
        <v/>
      </c>
      <c r="N334" s="2">
        <f>M334/F334</f>
        <v/>
      </c>
      <c r="O334" s="2">
        <f>I334*J334/60/M334</f>
        <v/>
      </c>
      <c r="P334" s="2">
        <f>K334/J334</f>
        <v/>
      </c>
      <c r="Q334" s="2">
        <f>N334*O334*P334</f>
        <v/>
      </c>
    </row>
    <row r="335">
      <c r="A335" t="inlineStr">
        <is>
          <t>2026-07-14</t>
        </is>
      </c>
      <c r="B335" t="inlineStr">
        <is>
          <t>야간</t>
        </is>
      </c>
      <c r="C335" t="inlineStr">
        <is>
          <t>P5</t>
        </is>
      </c>
      <c r="D335" t="inlineStr">
        <is>
          <t>검사</t>
        </is>
      </c>
      <c r="E335" t="inlineStr">
        <is>
          <t>IN-02</t>
        </is>
      </c>
      <c r="F335" t="n">
        <v>480</v>
      </c>
      <c r="G335" t="n">
        <v>8</v>
      </c>
      <c r="H335" t="inlineStr">
        <is>
          <t>측정기 교정</t>
        </is>
      </c>
      <c r="I335" t="n">
        <v>5.5</v>
      </c>
      <c r="J335" t="n">
        <v>4781</v>
      </c>
      <c r="K335" t="n">
        <v>4762</v>
      </c>
      <c r="L335" t="inlineStr">
        <is>
          <t>L-0701</t>
        </is>
      </c>
      <c r="M335">
        <f>F335-G335</f>
        <v/>
      </c>
      <c r="N335" s="2">
        <f>M335/F335</f>
        <v/>
      </c>
      <c r="O335" s="2">
        <f>I335*J335/60/M335</f>
        <v/>
      </c>
      <c r="P335" s="2">
        <f>K335/J335</f>
        <v/>
      </c>
      <c r="Q335" s="2">
        <f>N335*O335*P335</f>
        <v/>
      </c>
    </row>
    <row r="336">
      <c r="A336" t="inlineStr">
        <is>
          <t>2026-07-14</t>
        </is>
      </c>
      <c r="B336" t="inlineStr">
        <is>
          <t>야간</t>
        </is>
      </c>
      <c r="C336" t="inlineStr">
        <is>
          <t>P6</t>
        </is>
      </c>
      <c r="D336" t="inlineStr">
        <is>
          <t>포장</t>
        </is>
      </c>
      <c r="E336" t="inlineStr">
        <is>
          <t>PK-01</t>
        </is>
      </c>
      <c r="F336" t="n">
        <v>480</v>
      </c>
      <c r="G336" t="n">
        <v>4</v>
      </c>
      <c r="H336" t="inlineStr">
        <is>
          <t>라벨 교체</t>
        </is>
      </c>
      <c r="I336" t="n">
        <v>4.8</v>
      </c>
      <c r="J336" t="n">
        <v>5572</v>
      </c>
      <c r="K336" t="n">
        <v>5558</v>
      </c>
      <c r="L336" t="inlineStr">
        <is>
          <t>L-0701</t>
        </is>
      </c>
      <c r="M336">
        <f>F336-G336</f>
        <v/>
      </c>
      <c r="N336" s="2">
        <f>M336/F336</f>
        <v/>
      </c>
      <c r="O336" s="2">
        <f>I336*J336/60/M336</f>
        <v/>
      </c>
      <c r="P336" s="2">
        <f>K336/J336</f>
        <v/>
      </c>
      <c r="Q336" s="2">
        <f>N336*O336*P336</f>
        <v/>
      </c>
    </row>
    <row r="337">
      <c r="A337" t="inlineStr">
        <is>
          <t>2026-07-14</t>
        </is>
      </c>
      <c r="B337" t="inlineStr">
        <is>
          <t>야간</t>
        </is>
      </c>
      <c r="C337" t="inlineStr">
        <is>
          <t>P6</t>
        </is>
      </c>
      <c r="D337" t="inlineStr">
        <is>
          <t>포장</t>
        </is>
      </c>
      <c r="E337" t="inlineStr">
        <is>
          <t>PK-02</t>
        </is>
      </c>
      <c r="F337" t="n">
        <v>480</v>
      </c>
      <c r="G337" t="n">
        <v>32</v>
      </c>
      <c r="H337" t="inlineStr">
        <is>
          <t>라벨 교체</t>
        </is>
      </c>
      <c r="I337" t="n">
        <v>4.8</v>
      </c>
      <c r="J337" t="n">
        <v>5488</v>
      </c>
      <c r="K337" t="n">
        <v>5472</v>
      </c>
      <c r="L337" t="inlineStr">
        <is>
          <t>L-0701</t>
        </is>
      </c>
      <c r="M337">
        <f>F337-G337</f>
        <v/>
      </c>
      <c r="N337" s="2">
        <f>M337/F337</f>
        <v/>
      </c>
      <c r="O337" s="2">
        <f>I337*J337/60/M337</f>
        <v/>
      </c>
      <c r="P337" s="2">
        <f>K337/J337</f>
        <v/>
      </c>
      <c r="Q337" s="2">
        <f>N337*O337*P337</f>
        <v/>
      </c>
    </row>
    <row r="338">
      <c r="A338" t="inlineStr">
        <is>
          <t>2026-07-15</t>
        </is>
      </c>
      <c r="B338" t="inlineStr">
        <is>
          <t>주간</t>
        </is>
      </c>
      <c r="C338" t="inlineStr">
        <is>
          <t>P1</t>
        </is>
      </c>
      <c r="D338" t="inlineStr">
        <is>
          <t>원료혼합</t>
        </is>
      </c>
      <c r="E338" t="inlineStr">
        <is>
          <t>MX-01</t>
        </is>
      </c>
      <c r="F338" t="n">
        <v>480</v>
      </c>
      <c r="G338" t="n">
        <v>50</v>
      </c>
      <c r="H338" t="inlineStr">
        <is>
          <t>청소</t>
        </is>
      </c>
      <c r="I338" t="n">
        <v>5</v>
      </c>
      <c r="J338" t="n">
        <v>4629</v>
      </c>
      <c r="K338" t="n">
        <v>4604</v>
      </c>
      <c r="L338" t="inlineStr">
        <is>
          <t>L-0701</t>
        </is>
      </c>
      <c r="M338">
        <f>F338-G338</f>
        <v/>
      </c>
      <c r="N338" s="2">
        <f>M338/F338</f>
        <v/>
      </c>
      <c r="O338" s="2">
        <f>I338*J338/60/M338</f>
        <v/>
      </c>
      <c r="P338" s="2">
        <f>K338/J338</f>
        <v/>
      </c>
      <c r="Q338" s="2">
        <f>N338*O338*P338</f>
        <v/>
      </c>
    </row>
    <row r="339">
      <c r="A339" t="inlineStr">
        <is>
          <t>2026-07-15</t>
        </is>
      </c>
      <c r="B339" t="inlineStr">
        <is>
          <t>주간</t>
        </is>
      </c>
      <c r="C339" t="inlineStr">
        <is>
          <t>P1</t>
        </is>
      </c>
      <c r="D339" t="inlineStr">
        <is>
          <t>원료혼합</t>
        </is>
      </c>
      <c r="E339" t="inlineStr">
        <is>
          <t>MX-02</t>
        </is>
      </c>
      <c r="F339" t="n">
        <v>480</v>
      </c>
      <c r="G339" t="n">
        <v>9</v>
      </c>
      <c r="H339" t="inlineStr">
        <is>
          <t>배합 확인</t>
        </is>
      </c>
      <c r="I339" t="n">
        <v>5</v>
      </c>
      <c r="J339" t="n">
        <v>5595</v>
      </c>
      <c r="K339" t="n">
        <v>5561</v>
      </c>
      <c r="L339" t="inlineStr">
        <is>
          <t>L-0701</t>
        </is>
      </c>
      <c r="M339">
        <f>F339-G339</f>
        <v/>
      </c>
      <c r="N339" s="2">
        <f>M339/F339</f>
        <v/>
      </c>
      <c r="O339" s="2">
        <f>I339*J339/60/M339</f>
        <v/>
      </c>
      <c r="P339" s="2">
        <f>K339/J339</f>
        <v/>
      </c>
      <c r="Q339" s="2">
        <f>N339*O339*P339</f>
        <v/>
      </c>
    </row>
    <row r="340">
      <c r="A340" t="inlineStr">
        <is>
          <t>2026-07-15</t>
        </is>
      </c>
      <c r="B340" t="inlineStr">
        <is>
          <t>주간</t>
        </is>
      </c>
      <c r="C340" t="inlineStr">
        <is>
          <t>P2</t>
        </is>
      </c>
      <c r="D340" t="inlineStr">
        <is>
          <t>성형</t>
        </is>
      </c>
      <c r="E340" t="inlineStr">
        <is>
          <t>PR-01</t>
        </is>
      </c>
      <c r="F340" t="n">
        <v>480</v>
      </c>
      <c r="G340" t="n">
        <v>17</v>
      </c>
      <c r="H340" t="inlineStr">
        <is>
          <t>압력 이상</t>
        </is>
      </c>
      <c r="I340" t="n">
        <v>6</v>
      </c>
      <c r="J340" t="n">
        <v>4352</v>
      </c>
      <c r="K340" t="n">
        <v>4305</v>
      </c>
      <c r="L340" t="inlineStr">
        <is>
          <t>L-0701</t>
        </is>
      </c>
      <c r="M340">
        <f>F340-G340</f>
        <v/>
      </c>
      <c r="N340" s="2">
        <f>M340/F340</f>
        <v/>
      </c>
      <c r="O340" s="2">
        <f>I340*J340/60/M340</f>
        <v/>
      </c>
      <c r="P340" s="2">
        <f>K340/J340</f>
        <v/>
      </c>
      <c r="Q340" s="2">
        <f>N340*O340*P340</f>
        <v/>
      </c>
    </row>
    <row r="341">
      <c r="A341" t="inlineStr">
        <is>
          <t>2026-07-15</t>
        </is>
      </c>
      <c r="B341" t="inlineStr">
        <is>
          <t>주간</t>
        </is>
      </c>
      <c r="C341" t="inlineStr">
        <is>
          <t>P2</t>
        </is>
      </c>
      <c r="D341" t="inlineStr">
        <is>
          <t>성형</t>
        </is>
      </c>
      <c r="E341" t="inlineStr">
        <is>
          <t>PR-02</t>
        </is>
      </c>
      <c r="F341" t="n">
        <v>480</v>
      </c>
      <c r="G341" t="n">
        <v>72</v>
      </c>
      <c r="H341" t="inlineStr">
        <is>
          <t>분말 공급 지연</t>
        </is>
      </c>
      <c r="I341" t="n">
        <v>6</v>
      </c>
      <c r="J341" t="n">
        <v>3787</v>
      </c>
      <c r="K341" t="n">
        <v>3748</v>
      </c>
      <c r="L341" t="inlineStr">
        <is>
          <t>L-0701</t>
        </is>
      </c>
      <c r="M341">
        <f>F341-G341</f>
        <v/>
      </c>
      <c r="N341" s="2">
        <f>M341/F341</f>
        <v/>
      </c>
      <c r="O341" s="2">
        <f>I341*J341/60/M341</f>
        <v/>
      </c>
      <c r="P341" s="2">
        <f>K341/J341</f>
        <v/>
      </c>
      <c r="Q341" s="2">
        <f>N341*O341*P341</f>
        <v/>
      </c>
    </row>
    <row r="342">
      <c r="A342" t="inlineStr">
        <is>
          <t>2026-07-15</t>
        </is>
      </c>
      <c r="B342" t="inlineStr">
        <is>
          <t>주간</t>
        </is>
      </c>
      <c r="C342" t="inlineStr">
        <is>
          <t>P3</t>
        </is>
      </c>
      <c r="D342" t="inlineStr">
        <is>
          <t>소결</t>
        </is>
      </c>
      <c r="E342" t="inlineStr">
        <is>
          <t>SF-01</t>
        </is>
      </c>
      <c r="F342" t="n">
        <v>480</v>
      </c>
      <c r="G342" t="n">
        <v>47</v>
      </c>
      <c r="H342" t="inlineStr">
        <is>
          <t>재가열</t>
        </is>
      </c>
      <c r="I342" t="n">
        <v>6.5</v>
      </c>
      <c r="J342" t="n">
        <v>3537</v>
      </c>
      <c r="K342" t="n">
        <v>3472</v>
      </c>
      <c r="L342" t="inlineStr">
        <is>
          <t>L-0701</t>
        </is>
      </c>
      <c r="M342">
        <f>F342-G342</f>
        <v/>
      </c>
      <c r="N342" s="2">
        <f>M342/F342</f>
        <v/>
      </c>
      <c r="O342" s="2">
        <f>I342*J342/60/M342</f>
        <v/>
      </c>
      <c r="P342" s="2">
        <f>K342/J342</f>
        <v/>
      </c>
      <c r="Q342" s="2">
        <f>N342*O342*P342</f>
        <v/>
      </c>
    </row>
    <row r="343">
      <c r="A343" t="inlineStr">
        <is>
          <t>2026-07-15</t>
        </is>
      </c>
      <c r="B343" t="inlineStr">
        <is>
          <t>주간</t>
        </is>
      </c>
      <c r="C343" t="inlineStr">
        <is>
          <t>P3</t>
        </is>
      </c>
      <c r="D343" t="inlineStr">
        <is>
          <t>소결</t>
        </is>
      </c>
      <c r="E343" t="inlineStr">
        <is>
          <t>SF-02</t>
        </is>
      </c>
      <c r="F343" t="n">
        <v>480</v>
      </c>
      <c r="G343" t="n">
        <v>49</v>
      </c>
      <c r="H343" t="inlineStr">
        <is>
          <t>재가열</t>
        </is>
      </c>
      <c r="I343" t="n">
        <v>6.5</v>
      </c>
      <c r="J343" t="n">
        <v>3674</v>
      </c>
      <c r="K343" t="n">
        <v>3607</v>
      </c>
      <c r="L343" t="inlineStr">
        <is>
          <t>L-0701</t>
        </is>
      </c>
      <c r="M343">
        <f>F343-G343</f>
        <v/>
      </c>
      <c r="N343" s="2">
        <f>M343/F343</f>
        <v/>
      </c>
      <c r="O343" s="2">
        <f>I343*J343/60/M343</f>
        <v/>
      </c>
      <c r="P343" s="2">
        <f>K343/J343</f>
        <v/>
      </c>
      <c r="Q343" s="2">
        <f>N343*O343*P343</f>
        <v/>
      </c>
    </row>
    <row r="344">
      <c r="A344" t="inlineStr">
        <is>
          <t>2026-07-15</t>
        </is>
      </c>
      <c r="B344" t="inlineStr">
        <is>
          <t>주간</t>
        </is>
      </c>
      <c r="C344" t="inlineStr">
        <is>
          <t>P4</t>
        </is>
      </c>
      <c r="D344" t="inlineStr">
        <is>
          <t>연삭</t>
        </is>
      </c>
      <c r="E344" t="inlineStr">
        <is>
          <t>GR-01</t>
        </is>
      </c>
      <c r="F344" t="n">
        <v>480</v>
      </c>
      <c r="G344" t="n">
        <v>48</v>
      </c>
      <c r="H344" t="inlineStr">
        <is>
          <t>드레싱</t>
        </is>
      </c>
      <c r="I344" t="n">
        <v>6.2</v>
      </c>
      <c r="J344" t="n">
        <v>3968</v>
      </c>
      <c r="K344" t="n">
        <v>3925</v>
      </c>
      <c r="L344" t="inlineStr">
        <is>
          <t>L-0701</t>
        </is>
      </c>
      <c r="M344">
        <f>F344-G344</f>
        <v/>
      </c>
      <c r="N344" s="2">
        <f>M344/F344</f>
        <v/>
      </c>
      <c r="O344" s="2">
        <f>I344*J344/60/M344</f>
        <v/>
      </c>
      <c r="P344" s="2">
        <f>K344/J344</f>
        <v/>
      </c>
      <c r="Q344" s="2">
        <f>N344*O344*P344</f>
        <v/>
      </c>
    </row>
    <row r="345">
      <c r="A345" t="inlineStr">
        <is>
          <t>2026-07-15</t>
        </is>
      </c>
      <c r="B345" t="inlineStr">
        <is>
          <t>주간</t>
        </is>
      </c>
      <c r="C345" t="inlineStr">
        <is>
          <t>P4</t>
        </is>
      </c>
      <c r="D345" t="inlineStr">
        <is>
          <t>연삭</t>
        </is>
      </c>
      <c r="E345" t="inlineStr">
        <is>
          <t>GR-02</t>
        </is>
      </c>
      <c r="F345" t="n">
        <v>480</v>
      </c>
      <c r="G345" t="n">
        <v>46</v>
      </c>
      <c r="H345" t="inlineStr">
        <is>
          <t>공구 교체</t>
        </is>
      </c>
      <c r="I345" t="n">
        <v>6.2</v>
      </c>
      <c r="J345" t="n">
        <v>3835</v>
      </c>
      <c r="K345" t="n">
        <v>3799</v>
      </c>
      <c r="L345" t="inlineStr">
        <is>
          <t>L-0701</t>
        </is>
      </c>
      <c r="M345">
        <f>F345-G345</f>
        <v/>
      </c>
      <c r="N345" s="2">
        <f>M345/F345</f>
        <v/>
      </c>
      <c r="O345" s="2">
        <f>I345*J345/60/M345</f>
        <v/>
      </c>
      <c r="P345" s="2">
        <f>K345/J345</f>
        <v/>
      </c>
      <c r="Q345" s="2">
        <f>N345*O345*P345</f>
        <v/>
      </c>
    </row>
    <row r="346">
      <c r="A346" t="inlineStr">
        <is>
          <t>2026-07-15</t>
        </is>
      </c>
      <c r="B346" t="inlineStr">
        <is>
          <t>주간</t>
        </is>
      </c>
      <c r="C346" t="inlineStr">
        <is>
          <t>P5</t>
        </is>
      </c>
      <c r="D346" t="inlineStr">
        <is>
          <t>검사</t>
        </is>
      </c>
      <c r="E346" t="inlineStr">
        <is>
          <t>IN-01</t>
        </is>
      </c>
      <c r="F346" t="n">
        <v>480</v>
      </c>
      <c r="G346" t="n">
        <v>26</v>
      </c>
      <c r="H346" t="inlineStr">
        <is>
          <t>측정기 교정</t>
        </is>
      </c>
      <c r="I346" t="n">
        <v>5.5</v>
      </c>
      <c r="J346" t="n">
        <v>4801</v>
      </c>
      <c r="K346" t="n">
        <v>4791</v>
      </c>
      <c r="L346" t="inlineStr">
        <is>
          <t>L-0701</t>
        </is>
      </c>
      <c r="M346">
        <f>F346-G346</f>
        <v/>
      </c>
      <c r="N346" s="2">
        <f>M346/F346</f>
        <v/>
      </c>
      <c r="O346" s="2">
        <f>I346*J346/60/M346</f>
        <v/>
      </c>
      <c r="P346" s="2">
        <f>K346/J346</f>
        <v/>
      </c>
      <c r="Q346" s="2">
        <f>N346*O346*P346</f>
        <v/>
      </c>
    </row>
    <row r="347">
      <c r="A347" t="inlineStr">
        <is>
          <t>2026-07-15</t>
        </is>
      </c>
      <c r="B347" t="inlineStr">
        <is>
          <t>주간</t>
        </is>
      </c>
      <c r="C347" t="inlineStr">
        <is>
          <t>P5</t>
        </is>
      </c>
      <c r="D347" t="inlineStr">
        <is>
          <t>검사</t>
        </is>
      </c>
      <c r="E347" t="inlineStr">
        <is>
          <t>IN-02</t>
        </is>
      </c>
      <c r="F347" t="n">
        <v>480</v>
      </c>
      <c r="G347" t="n">
        <v>2</v>
      </c>
      <c r="H347" t="inlineStr">
        <is>
          <t>샘플 재검</t>
        </is>
      </c>
      <c r="I347" t="n">
        <v>5.5</v>
      </c>
      <c r="J347" t="n">
        <v>4702</v>
      </c>
      <c r="K347" t="n">
        <v>4689</v>
      </c>
      <c r="L347" t="inlineStr">
        <is>
          <t>L-0701</t>
        </is>
      </c>
      <c r="M347">
        <f>F347-G347</f>
        <v/>
      </c>
      <c r="N347" s="2">
        <f>M347/F347</f>
        <v/>
      </c>
      <c r="O347" s="2">
        <f>I347*J347/60/M347</f>
        <v/>
      </c>
      <c r="P347" s="2">
        <f>K347/J347</f>
        <v/>
      </c>
      <c r="Q347" s="2">
        <f>N347*O347*P347</f>
        <v/>
      </c>
    </row>
    <row r="348">
      <c r="A348" t="inlineStr">
        <is>
          <t>2026-07-15</t>
        </is>
      </c>
      <c r="B348" t="inlineStr">
        <is>
          <t>주간</t>
        </is>
      </c>
      <c r="C348" t="inlineStr">
        <is>
          <t>P6</t>
        </is>
      </c>
      <c r="D348" t="inlineStr">
        <is>
          <t>포장</t>
        </is>
      </c>
      <c r="E348" t="inlineStr">
        <is>
          <t>PK-01</t>
        </is>
      </c>
      <c r="F348" t="n">
        <v>480</v>
      </c>
      <c r="G348" t="n">
        <v>6</v>
      </c>
      <c r="H348" t="inlineStr">
        <is>
          <t>자재 대기</t>
        </is>
      </c>
      <c r="I348" t="n">
        <v>4.8</v>
      </c>
      <c r="J348" t="n">
        <v>5474</v>
      </c>
      <c r="K348" t="n">
        <v>5463</v>
      </c>
      <c r="L348" t="inlineStr">
        <is>
          <t>L-0701</t>
        </is>
      </c>
      <c r="M348">
        <f>F348-G348</f>
        <v/>
      </c>
      <c r="N348" s="2">
        <f>M348/F348</f>
        <v/>
      </c>
      <c r="O348" s="2">
        <f>I348*J348/60/M348</f>
        <v/>
      </c>
      <c r="P348" s="2">
        <f>K348/J348</f>
        <v/>
      </c>
      <c r="Q348" s="2">
        <f>N348*O348*P348</f>
        <v/>
      </c>
    </row>
    <row r="349">
      <c r="A349" t="inlineStr">
        <is>
          <t>2026-07-15</t>
        </is>
      </c>
      <c r="B349" t="inlineStr">
        <is>
          <t>주간</t>
        </is>
      </c>
      <c r="C349" t="inlineStr">
        <is>
          <t>P6</t>
        </is>
      </c>
      <c r="D349" t="inlineStr">
        <is>
          <t>포장</t>
        </is>
      </c>
      <c r="E349" t="inlineStr">
        <is>
          <t>PK-02</t>
        </is>
      </c>
      <c r="F349" t="n">
        <v>480</v>
      </c>
      <c r="G349" t="n">
        <v>30</v>
      </c>
      <c r="H349" t="inlineStr">
        <is>
          <t>라벨 교체</t>
        </is>
      </c>
      <c r="I349" t="n">
        <v>4.8</v>
      </c>
      <c r="J349" t="n">
        <v>5430</v>
      </c>
      <c r="K349" t="n">
        <v>5418</v>
      </c>
      <c r="L349" t="inlineStr">
        <is>
          <t>L-0701</t>
        </is>
      </c>
      <c r="M349">
        <f>F349-G349</f>
        <v/>
      </c>
      <c r="N349" s="2">
        <f>M349/F349</f>
        <v/>
      </c>
      <c r="O349" s="2">
        <f>I349*J349/60/M349</f>
        <v/>
      </c>
      <c r="P349" s="2">
        <f>K349/J349</f>
        <v/>
      </c>
      <c r="Q349" s="2">
        <f>N349*O349*P349</f>
        <v/>
      </c>
    </row>
    <row r="350">
      <c r="A350" t="inlineStr">
        <is>
          <t>2026-07-15</t>
        </is>
      </c>
      <c r="B350" t="inlineStr">
        <is>
          <t>야간</t>
        </is>
      </c>
      <c r="C350" t="inlineStr">
        <is>
          <t>P1</t>
        </is>
      </c>
      <c r="D350" t="inlineStr">
        <is>
          <t>원료혼합</t>
        </is>
      </c>
      <c r="E350" t="inlineStr">
        <is>
          <t>MX-01</t>
        </is>
      </c>
      <c r="F350" t="n">
        <v>480</v>
      </c>
      <c r="G350" t="n">
        <v>38</v>
      </c>
      <c r="H350" t="inlineStr">
        <is>
          <t>원료 대기</t>
        </is>
      </c>
      <c r="I350" t="n">
        <v>5</v>
      </c>
      <c r="J350" t="n">
        <v>4790</v>
      </c>
      <c r="K350" t="n">
        <v>4757</v>
      </c>
      <c r="L350" t="inlineStr">
        <is>
          <t>L-0701</t>
        </is>
      </c>
      <c r="M350">
        <f>F350-G350</f>
        <v/>
      </c>
      <c r="N350" s="2">
        <f>M350/F350</f>
        <v/>
      </c>
      <c r="O350" s="2">
        <f>I350*J350/60/M350</f>
        <v/>
      </c>
      <c r="P350" s="2">
        <f>K350/J350</f>
        <v/>
      </c>
      <c r="Q350" s="2">
        <f>N350*O350*P350</f>
        <v/>
      </c>
    </row>
    <row r="351">
      <c r="A351" t="inlineStr">
        <is>
          <t>2026-07-15</t>
        </is>
      </c>
      <c r="B351" t="inlineStr">
        <is>
          <t>야간</t>
        </is>
      </c>
      <c r="C351" t="inlineStr">
        <is>
          <t>P1</t>
        </is>
      </c>
      <c r="D351" t="inlineStr">
        <is>
          <t>원료혼합</t>
        </is>
      </c>
      <c r="E351" t="inlineStr">
        <is>
          <t>MX-02</t>
        </is>
      </c>
      <c r="F351" t="n">
        <v>480</v>
      </c>
      <c r="G351" t="n">
        <v>19</v>
      </c>
      <c r="H351" t="inlineStr">
        <is>
          <t>원료 대기</t>
        </is>
      </c>
      <c r="I351" t="n">
        <v>5</v>
      </c>
      <c r="J351" t="n">
        <v>5111</v>
      </c>
      <c r="K351" t="n">
        <v>5072</v>
      </c>
      <c r="L351" t="inlineStr">
        <is>
          <t>L-0701</t>
        </is>
      </c>
      <c r="M351">
        <f>F351-G351</f>
        <v/>
      </c>
      <c r="N351" s="2">
        <f>M351/F351</f>
        <v/>
      </c>
      <c r="O351" s="2">
        <f>I351*J351/60/M351</f>
        <v/>
      </c>
      <c r="P351" s="2">
        <f>K351/J351</f>
        <v/>
      </c>
      <c r="Q351" s="2">
        <f>N351*O351*P351</f>
        <v/>
      </c>
    </row>
    <row r="352">
      <c r="A352" t="inlineStr">
        <is>
          <t>2026-07-15</t>
        </is>
      </c>
      <c r="B352" t="inlineStr">
        <is>
          <t>야간</t>
        </is>
      </c>
      <c r="C352" t="inlineStr">
        <is>
          <t>P2</t>
        </is>
      </c>
      <c r="D352" t="inlineStr">
        <is>
          <t>성형</t>
        </is>
      </c>
      <c r="E352" t="inlineStr">
        <is>
          <t>PR-01</t>
        </is>
      </c>
      <c r="F352" t="n">
        <v>480</v>
      </c>
      <c r="G352" t="n">
        <v>13</v>
      </c>
      <c r="H352" t="inlineStr">
        <is>
          <t>압력 이상</t>
        </is>
      </c>
      <c r="I352" t="n">
        <v>6</v>
      </c>
      <c r="J352" t="n">
        <v>4402</v>
      </c>
      <c r="K352" t="n">
        <v>4353</v>
      </c>
      <c r="L352" t="inlineStr">
        <is>
          <t>L-0701</t>
        </is>
      </c>
      <c r="M352">
        <f>F352-G352</f>
        <v/>
      </c>
      <c r="N352" s="2">
        <f>M352/F352</f>
        <v/>
      </c>
      <c r="O352" s="2">
        <f>I352*J352/60/M352</f>
        <v/>
      </c>
      <c r="P352" s="2">
        <f>K352/J352</f>
        <v/>
      </c>
      <c r="Q352" s="2">
        <f>N352*O352*P352</f>
        <v/>
      </c>
    </row>
    <row r="353">
      <c r="A353" t="inlineStr">
        <is>
          <t>2026-07-15</t>
        </is>
      </c>
      <c r="B353" t="inlineStr">
        <is>
          <t>야간</t>
        </is>
      </c>
      <c r="C353" t="inlineStr">
        <is>
          <t>P2</t>
        </is>
      </c>
      <c r="D353" t="inlineStr">
        <is>
          <t>성형</t>
        </is>
      </c>
      <c r="E353" t="inlineStr">
        <is>
          <t>PR-02</t>
        </is>
      </c>
      <c r="F353" t="n">
        <v>480</v>
      </c>
      <c r="G353" t="n">
        <v>21</v>
      </c>
      <c r="H353" t="inlineStr">
        <is>
          <t>압력 이상</t>
        </is>
      </c>
      <c r="I353" t="n">
        <v>6</v>
      </c>
      <c r="J353" t="n">
        <v>4373</v>
      </c>
      <c r="K353" t="n">
        <v>4331</v>
      </c>
      <c r="L353" t="inlineStr">
        <is>
          <t>L-0701</t>
        </is>
      </c>
      <c r="M353">
        <f>F353-G353</f>
        <v/>
      </c>
      <c r="N353" s="2">
        <f>M353/F353</f>
        <v/>
      </c>
      <c r="O353" s="2">
        <f>I353*J353/60/M353</f>
        <v/>
      </c>
      <c r="P353" s="2">
        <f>K353/J353</f>
        <v/>
      </c>
      <c r="Q353" s="2">
        <f>N353*O353*P353</f>
        <v/>
      </c>
    </row>
    <row r="354">
      <c r="A354" t="inlineStr">
        <is>
          <t>2026-07-15</t>
        </is>
      </c>
      <c r="B354" t="inlineStr">
        <is>
          <t>야간</t>
        </is>
      </c>
      <c r="C354" t="inlineStr">
        <is>
          <t>P3</t>
        </is>
      </c>
      <c r="D354" t="inlineStr">
        <is>
          <t>소결</t>
        </is>
      </c>
      <c r="E354" t="inlineStr">
        <is>
          <t>SF-01</t>
        </is>
      </c>
      <c r="F354" t="n">
        <v>480</v>
      </c>
      <c r="G354" t="n">
        <v>27</v>
      </c>
      <c r="H354" t="inlineStr">
        <is>
          <t>재가열</t>
        </is>
      </c>
      <c r="I354" t="n">
        <v>6.5</v>
      </c>
      <c r="J354" t="n">
        <v>3923</v>
      </c>
      <c r="K354" t="n">
        <v>3804</v>
      </c>
      <c r="L354" t="inlineStr">
        <is>
          <t>L-0701</t>
        </is>
      </c>
      <c r="M354">
        <f>F354-G354</f>
        <v/>
      </c>
      <c r="N354" s="2">
        <f>M354/F354</f>
        <v/>
      </c>
      <c r="O354" s="2">
        <f>I354*J354/60/M354</f>
        <v/>
      </c>
      <c r="P354" s="2">
        <f>K354/J354</f>
        <v/>
      </c>
      <c r="Q354" s="2">
        <f>N354*O354*P354</f>
        <v/>
      </c>
    </row>
    <row r="355">
      <c r="A355" t="inlineStr">
        <is>
          <t>2026-07-15</t>
        </is>
      </c>
      <c r="B355" t="inlineStr">
        <is>
          <t>야간</t>
        </is>
      </c>
      <c r="C355" t="inlineStr">
        <is>
          <t>P3</t>
        </is>
      </c>
      <c r="D355" t="inlineStr">
        <is>
          <t>소결</t>
        </is>
      </c>
      <c r="E355" t="inlineStr">
        <is>
          <t>SF-02</t>
        </is>
      </c>
      <c r="F355" t="n">
        <v>480</v>
      </c>
      <c r="G355" t="n">
        <v>43</v>
      </c>
      <c r="H355" t="inlineStr">
        <is>
          <t>승온 대기</t>
        </is>
      </c>
      <c r="I355" t="n">
        <v>6.5</v>
      </c>
      <c r="J355" t="n">
        <v>3643</v>
      </c>
      <c r="K355" t="n">
        <v>3575</v>
      </c>
      <c r="L355" t="inlineStr">
        <is>
          <t>L-0701</t>
        </is>
      </c>
      <c r="M355">
        <f>F355-G355</f>
        <v/>
      </c>
      <c r="N355" s="2">
        <f>M355/F355</f>
        <v/>
      </c>
      <c r="O355" s="2">
        <f>I355*J355/60/M355</f>
        <v/>
      </c>
      <c r="P355" s="2">
        <f>K355/J355</f>
        <v/>
      </c>
      <c r="Q355" s="2">
        <f>N355*O355*P355</f>
        <v/>
      </c>
    </row>
    <row r="356">
      <c r="A356" t="inlineStr">
        <is>
          <t>2026-07-15</t>
        </is>
      </c>
      <c r="B356" t="inlineStr">
        <is>
          <t>야간</t>
        </is>
      </c>
      <c r="C356" t="inlineStr">
        <is>
          <t>P4</t>
        </is>
      </c>
      <c r="D356" t="inlineStr">
        <is>
          <t>연삭</t>
        </is>
      </c>
      <c r="E356" t="inlineStr">
        <is>
          <t>GR-01</t>
        </is>
      </c>
      <c r="F356" t="n">
        <v>480</v>
      </c>
      <c r="G356" t="n">
        <v>75</v>
      </c>
      <c r="H356" t="inlineStr">
        <is>
          <t>공구 교체</t>
        </is>
      </c>
      <c r="I356" t="n">
        <v>6.2</v>
      </c>
      <c r="J356" t="n">
        <v>3649</v>
      </c>
      <c r="K356" t="n">
        <v>3608</v>
      </c>
      <c r="L356" t="inlineStr">
        <is>
          <t>L-0701</t>
        </is>
      </c>
      <c r="M356">
        <f>F356-G356</f>
        <v/>
      </c>
      <c r="N356" s="2">
        <f>M356/F356</f>
        <v/>
      </c>
      <c r="O356" s="2">
        <f>I356*J356/60/M356</f>
        <v/>
      </c>
      <c r="P356" s="2">
        <f>K356/J356</f>
        <v/>
      </c>
      <c r="Q356" s="2">
        <f>N356*O356*P356</f>
        <v/>
      </c>
    </row>
    <row r="357">
      <c r="A357" t="inlineStr">
        <is>
          <t>2026-07-15</t>
        </is>
      </c>
      <c r="B357" t="inlineStr">
        <is>
          <t>야간</t>
        </is>
      </c>
      <c r="C357" t="inlineStr">
        <is>
          <t>P4</t>
        </is>
      </c>
      <c r="D357" t="inlineStr">
        <is>
          <t>연삭</t>
        </is>
      </c>
      <c r="E357" t="inlineStr">
        <is>
          <t>GR-02</t>
        </is>
      </c>
      <c r="F357" t="n">
        <v>480</v>
      </c>
      <c r="G357" t="n">
        <v>60</v>
      </c>
      <c r="H357" t="inlineStr">
        <is>
          <t>공구 교체</t>
        </is>
      </c>
      <c r="I357" t="n">
        <v>6.2</v>
      </c>
      <c r="J357" t="n">
        <v>3746</v>
      </c>
      <c r="K357" t="n">
        <v>3706</v>
      </c>
      <c r="L357" t="inlineStr">
        <is>
          <t>L-0701</t>
        </is>
      </c>
      <c r="M357">
        <f>F357-G357</f>
        <v/>
      </c>
      <c r="N357" s="2">
        <f>M357/F357</f>
        <v/>
      </c>
      <c r="O357" s="2">
        <f>I357*J357/60/M357</f>
        <v/>
      </c>
      <c r="P357" s="2">
        <f>K357/J357</f>
        <v/>
      </c>
      <c r="Q357" s="2">
        <f>N357*O357*P357</f>
        <v/>
      </c>
    </row>
    <row r="358">
      <c r="A358" t="inlineStr">
        <is>
          <t>2026-07-15</t>
        </is>
      </c>
      <c r="B358" t="inlineStr">
        <is>
          <t>야간</t>
        </is>
      </c>
      <c r="C358" t="inlineStr">
        <is>
          <t>P5</t>
        </is>
      </c>
      <c r="D358" t="inlineStr">
        <is>
          <t>검사</t>
        </is>
      </c>
      <c r="E358" t="inlineStr">
        <is>
          <t>IN-01</t>
        </is>
      </c>
      <c r="F358" t="n">
        <v>480</v>
      </c>
      <c r="G358" t="n">
        <v>5</v>
      </c>
      <c r="H358" t="inlineStr">
        <is>
          <t>측정기 교정</t>
        </is>
      </c>
      <c r="I358" t="n">
        <v>5.5</v>
      </c>
      <c r="J358" t="n">
        <v>4844</v>
      </c>
      <c r="K358" t="n">
        <v>4825</v>
      </c>
      <c r="L358" t="inlineStr">
        <is>
          <t>L-0701</t>
        </is>
      </c>
      <c r="M358">
        <f>F358-G358</f>
        <v/>
      </c>
      <c r="N358" s="2">
        <f>M358/F358</f>
        <v/>
      </c>
      <c r="O358" s="2">
        <f>I358*J358/60/M358</f>
        <v/>
      </c>
      <c r="P358" s="2">
        <f>K358/J358</f>
        <v/>
      </c>
      <c r="Q358" s="2">
        <f>N358*O358*P358</f>
        <v/>
      </c>
    </row>
    <row r="359">
      <c r="A359" t="inlineStr">
        <is>
          <t>2026-07-15</t>
        </is>
      </c>
      <c r="B359" t="inlineStr">
        <is>
          <t>야간</t>
        </is>
      </c>
      <c r="C359" t="inlineStr">
        <is>
          <t>P5</t>
        </is>
      </c>
      <c r="D359" t="inlineStr">
        <is>
          <t>검사</t>
        </is>
      </c>
      <c r="E359" t="inlineStr">
        <is>
          <t>IN-02</t>
        </is>
      </c>
      <c r="F359" t="n">
        <v>480</v>
      </c>
      <c r="G359" t="n">
        <v>17</v>
      </c>
      <c r="H359" t="inlineStr">
        <is>
          <t>측정기 교정</t>
        </is>
      </c>
      <c r="I359" t="n">
        <v>5.5</v>
      </c>
      <c r="J359" t="n">
        <v>4763</v>
      </c>
      <c r="K359" t="n">
        <v>4743</v>
      </c>
      <c r="L359" t="inlineStr">
        <is>
          <t>L-0701</t>
        </is>
      </c>
      <c r="M359">
        <f>F359-G359</f>
        <v/>
      </c>
      <c r="N359" s="2">
        <f>M359/F359</f>
        <v/>
      </c>
      <c r="O359" s="2">
        <f>I359*J359/60/M359</f>
        <v/>
      </c>
      <c r="P359" s="2">
        <f>K359/J359</f>
        <v/>
      </c>
      <c r="Q359" s="2">
        <f>N359*O359*P359</f>
        <v/>
      </c>
    </row>
    <row r="360">
      <c r="A360" t="inlineStr">
        <is>
          <t>2026-07-15</t>
        </is>
      </c>
      <c r="B360" t="inlineStr">
        <is>
          <t>야간</t>
        </is>
      </c>
      <c r="C360" t="inlineStr">
        <is>
          <t>P6</t>
        </is>
      </c>
      <c r="D360" t="inlineStr">
        <is>
          <t>포장</t>
        </is>
      </c>
      <c r="E360" t="inlineStr">
        <is>
          <t>PK-01</t>
        </is>
      </c>
      <c r="F360" t="n">
        <v>480</v>
      </c>
      <c r="G360" t="n">
        <v>16</v>
      </c>
      <c r="H360" t="inlineStr">
        <is>
          <t>라벨 교체</t>
        </is>
      </c>
      <c r="I360" t="n">
        <v>4.8</v>
      </c>
      <c r="J360" t="n">
        <v>5247</v>
      </c>
      <c r="K360" t="n">
        <v>5230</v>
      </c>
      <c r="L360" t="inlineStr">
        <is>
          <t>L-0701</t>
        </is>
      </c>
      <c r="M360">
        <f>F360-G360</f>
        <v/>
      </c>
      <c r="N360" s="2">
        <f>M360/F360</f>
        <v/>
      </c>
      <c r="O360" s="2">
        <f>I360*J360/60/M360</f>
        <v/>
      </c>
      <c r="P360" s="2">
        <f>K360/J360</f>
        <v/>
      </c>
      <c r="Q360" s="2">
        <f>N360*O360*P360</f>
        <v/>
      </c>
    </row>
    <row r="361">
      <c r="A361" t="inlineStr">
        <is>
          <t>2026-07-15</t>
        </is>
      </c>
      <c r="B361" t="inlineStr">
        <is>
          <t>야간</t>
        </is>
      </c>
      <c r="C361" t="inlineStr">
        <is>
          <t>P6</t>
        </is>
      </c>
      <c r="D361" t="inlineStr">
        <is>
          <t>포장</t>
        </is>
      </c>
      <c r="E361" t="inlineStr">
        <is>
          <t>PK-02</t>
        </is>
      </c>
      <c r="F361" t="n">
        <v>480</v>
      </c>
      <c r="G361" t="n">
        <v>13</v>
      </c>
      <c r="H361" t="inlineStr">
        <is>
          <t>라벨 교체</t>
        </is>
      </c>
      <c r="I361" t="n">
        <v>4.8</v>
      </c>
      <c r="J361" t="n">
        <v>5491</v>
      </c>
      <c r="K361" t="n">
        <v>5474</v>
      </c>
      <c r="L361" t="inlineStr">
        <is>
          <t>L-0701</t>
        </is>
      </c>
      <c r="M361">
        <f>F361-G361</f>
        <v/>
      </c>
      <c r="N361" s="2">
        <f>M361/F361</f>
        <v/>
      </c>
      <c r="O361" s="2">
        <f>I361*J361/60/M361</f>
        <v/>
      </c>
      <c r="P361" s="2">
        <f>K361/J361</f>
        <v/>
      </c>
      <c r="Q361" s="2">
        <f>N361*O361*P361</f>
        <v/>
      </c>
    </row>
    <row r="362">
      <c r="A362" t="inlineStr">
        <is>
          <t>2026-07-16</t>
        </is>
      </c>
      <c r="B362" t="inlineStr">
        <is>
          <t>주간</t>
        </is>
      </c>
      <c r="C362" t="inlineStr">
        <is>
          <t>P1</t>
        </is>
      </c>
      <c r="D362" t="inlineStr">
        <is>
          <t>원료혼합</t>
        </is>
      </c>
      <c r="E362" t="inlineStr">
        <is>
          <t>MX-01</t>
        </is>
      </c>
      <c r="F362" t="n">
        <v>480</v>
      </c>
      <c r="G362" t="n">
        <v>14</v>
      </c>
      <c r="H362" t="inlineStr">
        <is>
          <t>배합 확인</t>
        </is>
      </c>
      <c r="I362" t="n">
        <v>5</v>
      </c>
      <c r="J362" t="n">
        <v>5168</v>
      </c>
      <c r="K362" t="n">
        <v>5140</v>
      </c>
      <c r="L362" t="inlineStr">
        <is>
          <t>L-0701</t>
        </is>
      </c>
      <c r="M362">
        <f>F362-G362</f>
        <v/>
      </c>
      <c r="N362" s="2">
        <f>M362/F362</f>
        <v/>
      </c>
      <c r="O362" s="2">
        <f>I362*J362/60/M362</f>
        <v/>
      </c>
      <c r="P362" s="2">
        <f>K362/J362</f>
        <v/>
      </c>
      <c r="Q362" s="2">
        <f>N362*O362*P362</f>
        <v/>
      </c>
    </row>
    <row r="363">
      <c r="A363" t="inlineStr">
        <is>
          <t>2026-07-16</t>
        </is>
      </c>
      <c r="B363" t="inlineStr">
        <is>
          <t>주간</t>
        </is>
      </c>
      <c r="C363" t="inlineStr">
        <is>
          <t>P1</t>
        </is>
      </c>
      <c r="D363" t="inlineStr">
        <is>
          <t>원료혼합</t>
        </is>
      </c>
      <c r="E363" t="inlineStr">
        <is>
          <t>MX-02</t>
        </is>
      </c>
      <c r="F363" t="n">
        <v>480</v>
      </c>
      <c r="G363" t="n">
        <v>41</v>
      </c>
      <c r="H363" t="inlineStr">
        <is>
          <t>배합 확인</t>
        </is>
      </c>
      <c r="I363" t="n">
        <v>5</v>
      </c>
      <c r="J363" t="n">
        <v>4889</v>
      </c>
      <c r="K363" t="n">
        <v>4860</v>
      </c>
      <c r="L363" t="inlineStr">
        <is>
          <t>L-0701</t>
        </is>
      </c>
      <c r="M363">
        <f>F363-G363</f>
        <v/>
      </c>
      <c r="N363" s="2">
        <f>M363/F363</f>
        <v/>
      </c>
      <c r="O363" s="2">
        <f>I363*J363/60/M363</f>
        <v/>
      </c>
      <c r="P363" s="2">
        <f>K363/J363</f>
        <v/>
      </c>
      <c r="Q363" s="2">
        <f>N363*O363*P363</f>
        <v/>
      </c>
    </row>
    <row r="364">
      <c r="A364" t="inlineStr">
        <is>
          <t>2026-07-16</t>
        </is>
      </c>
      <c r="B364" t="inlineStr">
        <is>
          <t>주간</t>
        </is>
      </c>
      <c r="C364" t="inlineStr">
        <is>
          <t>P2</t>
        </is>
      </c>
      <c r="D364" t="inlineStr">
        <is>
          <t>성형</t>
        </is>
      </c>
      <c r="E364" t="inlineStr">
        <is>
          <t>PR-01</t>
        </is>
      </c>
      <c r="F364" t="n">
        <v>480</v>
      </c>
      <c r="G364" t="n">
        <v>7</v>
      </c>
      <c r="H364" t="inlineStr">
        <is>
          <t>분말 공급 지연</t>
        </is>
      </c>
      <c r="I364" t="n">
        <v>6</v>
      </c>
      <c r="J364" t="n">
        <v>4379</v>
      </c>
      <c r="K364" t="n">
        <v>4341</v>
      </c>
      <c r="L364" t="inlineStr">
        <is>
          <t>L-0701</t>
        </is>
      </c>
      <c r="M364">
        <f>F364-G364</f>
        <v/>
      </c>
      <c r="N364" s="2">
        <f>M364/F364</f>
        <v/>
      </c>
      <c r="O364" s="2">
        <f>I364*J364/60/M364</f>
        <v/>
      </c>
      <c r="P364" s="2">
        <f>K364/J364</f>
        <v/>
      </c>
      <c r="Q364" s="2">
        <f>N364*O364*P364</f>
        <v/>
      </c>
    </row>
    <row r="365">
      <c r="A365" t="inlineStr">
        <is>
          <t>2026-07-16</t>
        </is>
      </c>
      <c r="B365" t="inlineStr">
        <is>
          <t>주간</t>
        </is>
      </c>
      <c r="C365" t="inlineStr">
        <is>
          <t>P2</t>
        </is>
      </c>
      <c r="D365" t="inlineStr">
        <is>
          <t>성형</t>
        </is>
      </c>
      <c r="E365" t="inlineStr">
        <is>
          <t>PR-02</t>
        </is>
      </c>
      <c r="F365" t="n">
        <v>480</v>
      </c>
      <c r="G365" t="n">
        <v>17</v>
      </c>
      <c r="H365" t="inlineStr">
        <is>
          <t>금형 교체</t>
        </is>
      </c>
      <c r="I365" t="n">
        <v>6</v>
      </c>
      <c r="J365" t="n">
        <v>4321</v>
      </c>
      <c r="K365" t="n">
        <v>4289</v>
      </c>
      <c r="L365" t="inlineStr">
        <is>
          <t>L-0701</t>
        </is>
      </c>
      <c r="M365">
        <f>F365-G365</f>
        <v/>
      </c>
      <c r="N365" s="2">
        <f>M365/F365</f>
        <v/>
      </c>
      <c r="O365" s="2">
        <f>I365*J365/60/M365</f>
        <v/>
      </c>
      <c r="P365" s="2">
        <f>K365/J365</f>
        <v/>
      </c>
      <c r="Q365" s="2">
        <f>N365*O365*P365</f>
        <v/>
      </c>
    </row>
    <row r="366">
      <c r="A366" t="inlineStr">
        <is>
          <t>2026-07-16</t>
        </is>
      </c>
      <c r="B366" t="inlineStr">
        <is>
          <t>주간</t>
        </is>
      </c>
      <c r="C366" t="inlineStr">
        <is>
          <t>P3</t>
        </is>
      </c>
      <c r="D366" t="inlineStr">
        <is>
          <t>소결</t>
        </is>
      </c>
      <c r="E366" t="inlineStr">
        <is>
          <t>SF-01</t>
        </is>
      </c>
      <c r="F366" t="n">
        <v>480</v>
      </c>
      <c r="G366" t="n">
        <v>46</v>
      </c>
      <c r="H366" t="inlineStr">
        <is>
          <t>재가열</t>
        </is>
      </c>
      <c r="I366" t="n">
        <v>6.5</v>
      </c>
      <c r="J366" t="n">
        <v>3823</v>
      </c>
      <c r="K366" t="n">
        <v>3701</v>
      </c>
      <c r="L366" t="inlineStr">
        <is>
          <t>L-0701</t>
        </is>
      </c>
      <c r="M366">
        <f>F366-G366</f>
        <v/>
      </c>
      <c r="N366" s="2">
        <f>M366/F366</f>
        <v/>
      </c>
      <c r="O366" s="2">
        <f>I366*J366/60/M366</f>
        <v/>
      </c>
      <c r="P366" s="2">
        <f>K366/J366</f>
        <v/>
      </c>
      <c r="Q366" s="2">
        <f>N366*O366*P366</f>
        <v/>
      </c>
    </row>
    <row r="367">
      <c r="A367" t="inlineStr">
        <is>
          <t>2026-07-16</t>
        </is>
      </c>
      <c r="B367" t="inlineStr">
        <is>
          <t>주간</t>
        </is>
      </c>
      <c r="C367" t="inlineStr">
        <is>
          <t>P3</t>
        </is>
      </c>
      <c r="D367" t="inlineStr">
        <is>
          <t>소결</t>
        </is>
      </c>
      <c r="E367" t="inlineStr">
        <is>
          <t>SF-02</t>
        </is>
      </c>
      <c r="F367" t="n">
        <v>480</v>
      </c>
      <c r="G367" t="n">
        <v>79</v>
      </c>
      <c r="H367" t="inlineStr">
        <is>
          <t>승온 대기</t>
        </is>
      </c>
      <c r="I367" t="n">
        <v>6.5</v>
      </c>
      <c r="J367" t="n">
        <v>3420</v>
      </c>
      <c r="K367" t="n">
        <v>3363</v>
      </c>
      <c r="L367" t="inlineStr">
        <is>
          <t>L-0701</t>
        </is>
      </c>
      <c r="M367">
        <f>F367-G367</f>
        <v/>
      </c>
      <c r="N367" s="2">
        <f>M367/F367</f>
        <v/>
      </c>
      <c r="O367" s="2">
        <f>I367*J367/60/M367</f>
        <v/>
      </c>
      <c r="P367" s="2">
        <f>K367/J367</f>
        <v/>
      </c>
      <c r="Q367" s="2">
        <f>N367*O367*P367</f>
        <v/>
      </c>
    </row>
    <row r="368">
      <c r="A368" t="inlineStr">
        <is>
          <t>2026-07-16</t>
        </is>
      </c>
      <c r="B368" t="inlineStr">
        <is>
          <t>주간</t>
        </is>
      </c>
      <c r="C368" t="inlineStr">
        <is>
          <t>P4</t>
        </is>
      </c>
      <c r="D368" t="inlineStr">
        <is>
          <t>연삭</t>
        </is>
      </c>
      <c r="E368" t="inlineStr">
        <is>
          <t>GR-01</t>
        </is>
      </c>
      <c r="F368" t="n">
        <v>480</v>
      </c>
      <c r="G368" t="n">
        <v>51</v>
      </c>
      <c r="H368" t="inlineStr">
        <is>
          <t>드레싱</t>
        </is>
      </c>
      <c r="I368" t="n">
        <v>6.2</v>
      </c>
      <c r="J368" t="n">
        <v>3962</v>
      </c>
      <c r="K368" t="n">
        <v>3922</v>
      </c>
      <c r="L368" t="inlineStr">
        <is>
          <t>L-0701</t>
        </is>
      </c>
      <c r="M368">
        <f>F368-G368</f>
        <v/>
      </c>
      <c r="N368" s="2">
        <f>M368/F368</f>
        <v/>
      </c>
      <c r="O368" s="2">
        <f>I368*J368/60/M368</f>
        <v/>
      </c>
      <c r="P368" s="2">
        <f>K368/J368</f>
        <v/>
      </c>
      <c r="Q368" s="2">
        <f>N368*O368*P368</f>
        <v/>
      </c>
    </row>
    <row r="369">
      <c r="A369" t="inlineStr">
        <is>
          <t>2026-07-16</t>
        </is>
      </c>
      <c r="B369" t="inlineStr">
        <is>
          <t>주간</t>
        </is>
      </c>
      <c r="C369" t="inlineStr">
        <is>
          <t>P4</t>
        </is>
      </c>
      <c r="D369" t="inlineStr">
        <is>
          <t>연삭</t>
        </is>
      </c>
      <c r="E369" t="inlineStr">
        <is>
          <t>GR-02</t>
        </is>
      </c>
      <c r="F369" t="n">
        <v>480</v>
      </c>
      <c r="G369" t="n">
        <v>57</v>
      </c>
      <c r="H369" t="inlineStr">
        <is>
          <t>드레싱</t>
        </is>
      </c>
      <c r="I369" t="n">
        <v>6.2</v>
      </c>
      <c r="J369" t="n">
        <v>3771</v>
      </c>
      <c r="K369" t="n">
        <v>3735</v>
      </c>
      <c r="L369" t="inlineStr">
        <is>
          <t>L-0701</t>
        </is>
      </c>
      <c r="M369">
        <f>F369-G369</f>
        <v/>
      </c>
      <c r="N369" s="2">
        <f>M369/F369</f>
        <v/>
      </c>
      <c r="O369" s="2">
        <f>I369*J369/60/M369</f>
        <v/>
      </c>
      <c r="P369" s="2">
        <f>K369/J369</f>
        <v/>
      </c>
      <c r="Q369" s="2">
        <f>N369*O369*P369</f>
        <v/>
      </c>
    </row>
    <row r="370">
      <c r="A370" t="inlineStr">
        <is>
          <t>2026-07-16</t>
        </is>
      </c>
      <c r="B370" t="inlineStr">
        <is>
          <t>주간</t>
        </is>
      </c>
      <c r="C370" t="inlineStr">
        <is>
          <t>P5</t>
        </is>
      </c>
      <c r="D370" t="inlineStr">
        <is>
          <t>검사</t>
        </is>
      </c>
      <c r="E370" t="inlineStr">
        <is>
          <t>IN-01</t>
        </is>
      </c>
      <c r="F370" t="n">
        <v>480</v>
      </c>
      <c r="G370" t="n">
        <v>11</v>
      </c>
      <c r="H370" t="inlineStr">
        <is>
          <t>샘플 재검</t>
        </is>
      </c>
      <c r="I370" t="n">
        <v>5.5</v>
      </c>
      <c r="J370" t="n">
        <v>4875</v>
      </c>
      <c r="K370" t="n">
        <v>4862</v>
      </c>
      <c r="L370" t="inlineStr">
        <is>
          <t>L-0701</t>
        </is>
      </c>
      <c r="M370">
        <f>F370-G370</f>
        <v/>
      </c>
      <c r="N370" s="2">
        <f>M370/F370</f>
        <v/>
      </c>
      <c r="O370" s="2">
        <f>I370*J370/60/M370</f>
        <v/>
      </c>
      <c r="P370" s="2">
        <f>K370/J370</f>
        <v/>
      </c>
      <c r="Q370" s="2">
        <f>N370*O370*P370</f>
        <v/>
      </c>
    </row>
    <row r="371">
      <c r="A371" t="inlineStr">
        <is>
          <t>2026-07-16</t>
        </is>
      </c>
      <c r="B371" t="inlineStr">
        <is>
          <t>주간</t>
        </is>
      </c>
      <c r="C371" t="inlineStr">
        <is>
          <t>P5</t>
        </is>
      </c>
      <c r="D371" t="inlineStr">
        <is>
          <t>검사</t>
        </is>
      </c>
      <c r="E371" t="inlineStr">
        <is>
          <t>IN-02</t>
        </is>
      </c>
      <c r="F371" t="n">
        <v>480</v>
      </c>
      <c r="G371" t="n">
        <v>13</v>
      </c>
      <c r="H371" t="inlineStr">
        <is>
          <t>샘플 재검</t>
        </is>
      </c>
      <c r="I371" t="n">
        <v>5.5</v>
      </c>
      <c r="J371" t="n">
        <v>4922</v>
      </c>
      <c r="K371" t="n">
        <v>4907</v>
      </c>
      <c r="L371" t="inlineStr">
        <is>
          <t>L-0701</t>
        </is>
      </c>
      <c r="M371">
        <f>F371-G371</f>
        <v/>
      </c>
      <c r="N371" s="2">
        <f>M371/F371</f>
        <v/>
      </c>
      <c r="O371" s="2">
        <f>I371*J371/60/M371</f>
        <v/>
      </c>
      <c r="P371" s="2">
        <f>K371/J371</f>
        <v/>
      </c>
      <c r="Q371" s="2">
        <f>N371*O371*P371</f>
        <v/>
      </c>
    </row>
    <row r="372">
      <c r="A372" t="inlineStr">
        <is>
          <t>2026-07-16</t>
        </is>
      </c>
      <c r="B372" t="inlineStr">
        <is>
          <t>주간</t>
        </is>
      </c>
      <c r="C372" t="inlineStr">
        <is>
          <t>P6</t>
        </is>
      </c>
      <c r="D372" t="inlineStr">
        <is>
          <t>포장</t>
        </is>
      </c>
      <c r="E372" t="inlineStr">
        <is>
          <t>PK-01</t>
        </is>
      </c>
      <c r="F372" t="n">
        <v>480</v>
      </c>
      <c r="G372" t="n">
        <v>24</v>
      </c>
      <c r="H372" t="inlineStr">
        <is>
          <t>라벨 교체</t>
        </is>
      </c>
      <c r="I372" t="n">
        <v>4.8</v>
      </c>
      <c r="J372" t="n">
        <v>5512</v>
      </c>
      <c r="K372" t="n">
        <v>5503</v>
      </c>
      <c r="L372" t="inlineStr">
        <is>
          <t>L-0701</t>
        </is>
      </c>
      <c r="M372">
        <f>F372-G372</f>
        <v/>
      </c>
      <c r="N372" s="2">
        <f>M372/F372</f>
        <v/>
      </c>
      <c r="O372" s="2">
        <f>I372*J372/60/M372</f>
        <v/>
      </c>
      <c r="P372" s="2">
        <f>K372/J372</f>
        <v/>
      </c>
      <c r="Q372" s="2">
        <f>N372*O372*P372</f>
        <v/>
      </c>
    </row>
    <row r="373">
      <c r="A373" t="inlineStr">
        <is>
          <t>2026-07-16</t>
        </is>
      </c>
      <c r="B373" t="inlineStr">
        <is>
          <t>주간</t>
        </is>
      </c>
      <c r="C373" t="inlineStr">
        <is>
          <t>P6</t>
        </is>
      </c>
      <c r="D373" t="inlineStr">
        <is>
          <t>포장</t>
        </is>
      </c>
      <c r="E373" t="inlineStr">
        <is>
          <t>PK-02</t>
        </is>
      </c>
      <c r="F373" t="n">
        <v>480</v>
      </c>
      <c r="G373" t="n">
        <v>21</v>
      </c>
      <c r="H373" t="inlineStr">
        <is>
          <t>라벨 교체</t>
        </is>
      </c>
      <c r="I373" t="n">
        <v>4.8</v>
      </c>
      <c r="J373" t="n">
        <v>5497</v>
      </c>
      <c r="K373" t="n">
        <v>5486</v>
      </c>
      <c r="L373" t="inlineStr">
        <is>
          <t>L-0701</t>
        </is>
      </c>
      <c r="M373">
        <f>F373-G373</f>
        <v/>
      </c>
      <c r="N373" s="2">
        <f>M373/F373</f>
        <v/>
      </c>
      <c r="O373" s="2">
        <f>I373*J373/60/M373</f>
        <v/>
      </c>
      <c r="P373" s="2">
        <f>K373/J373</f>
        <v/>
      </c>
      <c r="Q373" s="2">
        <f>N373*O373*P373</f>
        <v/>
      </c>
    </row>
    <row r="374">
      <c r="A374" t="inlineStr">
        <is>
          <t>2026-07-16</t>
        </is>
      </c>
      <c r="B374" t="inlineStr">
        <is>
          <t>야간</t>
        </is>
      </c>
      <c r="C374" t="inlineStr">
        <is>
          <t>P1</t>
        </is>
      </c>
      <c r="D374" t="inlineStr">
        <is>
          <t>원료혼합</t>
        </is>
      </c>
      <c r="E374" t="inlineStr">
        <is>
          <t>MX-01</t>
        </is>
      </c>
      <c r="F374" t="n">
        <v>480</v>
      </c>
      <c r="G374" t="n">
        <v>21</v>
      </c>
      <c r="H374" t="inlineStr">
        <is>
          <t>청소</t>
        </is>
      </c>
      <c r="I374" t="n">
        <v>5</v>
      </c>
      <c r="J374" t="n">
        <v>5003</v>
      </c>
      <c r="K374" t="n">
        <v>4966</v>
      </c>
      <c r="L374" t="inlineStr">
        <is>
          <t>L-0701</t>
        </is>
      </c>
      <c r="M374">
        <f>F374-G374</f>
        <v/>
      </c>
      <c r="N374" s="2">
        <f>M374/F374</f>
        <v/>
      </c>
      <c r="O374" s="2">
        <f>I374*J374/60/M374</f>
        <v/>
      </c>
      <c r="P374" s="2">
        <f>K374/J374</f>
        <v/>
      </c>
      <c r="Q374" s="2">
        <f>N374*O374*P374</f>
        <v/>
      </c>
    </row>
    <row r="375">
      <c r="A375" t="inlineStr">
        <is>
          <t>2026-07-16</t>
        </is>
      </c>
      <c r="B375" t="inlineStr">
        <is>
          <t>야간</t>
        </is>
      </c>
      <c r="C375" t="inlineStr">
        <is>
          <t>P1</t>
        </is>
      </c>
      <c r="D375" t="inlineStr">
        <is>
          <t>원료혼합</t>
        </is>
      </c>
      <c r="E375" t="inlineStr">
        <is>
          <t>MX-02</t>
        </is>
      </c>
      <c r="F375" t="n">
        <v>480</v>
      </c>
      <c r="G375" t="n">
        <v>32</v>
      </c>
      <c r="H375" t="inlineStr">
        <is>
          <t>배합 확인</t>
        </is>
      </c>
      <c r="I375" t="n">
        <v>5</v>
      </c>
      <c r="J375" t="n">
        <v>4955</v>
      </c>
      <c r="K375" t="n">
        <v>4919</v>
      </c>
      <c r="L375" t="inlineStr">
        <is>
          <t>L-0701</t>
        </is>
      </c>
      <c r="M375">
        <f>F375-G375</f>
        <v/>
      </c>
      <c r="N375" s="2">
        <f>M375/F375</f>
        <v/>
      </c>
      <c r="O375" s="2">
        <f>I375*J375/60/M375</f>
        <v/>
      </c>
      <c r="P375" s="2">
        <f>K375/J375</f>
        <v/>
      </c>
      <c r="Q375" s="2">
        <f>N375*O375*P375</f>
        <v/>
      </c>
    </row>
    <row r="376">
      <c r="A376" t="inlineStr">
        <is>
          <t>2026-07-16</t>
        </is>
      </c>
      <c r="B376" t="inlineStr">
        <is>
          <t>야간</t>
        </is>
      </c>
      <c r="C376" t="inlineStr">
        <is>
          <t>P2</t>
        </is>
      </c>
      <c r="D376" t="inlineStr">
        <is>
          <t>성형</t>
        </is>
      </c>
      <c r="E376" t="inlineStr">
        <is>
          <t>PR-01</t>
        </is>
      </c>
      <c r="F376" t="n">
        <v>480</v>
      </c>
      <c r="G376" t="n">
        <v>14</v>
      </c>
      <c r="H376" t="inlineStr">
        <is>
          <t>압력 이상</t>
        </is>
      </c>
      <c r="I376" t="n">
        <v>6</v>
      </c>
      <c r="J376" t="n">
        <v>4346</v>
      </c>
      <c r="K376" t="n">
        <v>4308</v>
      </c>
      <c r="L376" t="inlineStr">
        <is>
          <t>L-0701</t>
        </is>
      </c>
      <c r="M376">
        <f>F376-G376</f>
        <v/>
      </c>
      <c r="N376" s="2">
        <f>M376/F376</f>
        <v/>
      </c>
      <c r="O376" s="2">
        <f>I376*J376/60/M376</f>
        <v/>
      </c>
      <c r="P376" s="2">
        <f>K376/J376</f>
        <v/>
      </c>
      <c r="Q376" s="2">
        <f>N376*O376*P376</f>
        <v/>
      </c>
    </row>
    <row r="377">
      <c r="A377" t="inlineStr">
        <is>
          <t>2026-07-16</t>
        </is>
      </c>
      <c r="B377" t="inlineStr">
        <is>
          <t>야간</t>
        </is>
      </c>
      <c r="C377" t="inlineStr">
        <is>
          <t>P2</t>
        </is>
      </c>
      <c r="D377" t="inlineStr">
        <is>
          <t>성형</t>
        </is>
      </c>
      <c r="E377" t="inlineStr">
        <is>
          <t>PR-02</t>
        </is>
      </c>
      <c r="F377" t="n">
        <v>480</v>
      </c>
      <c r="G377" t="n">
        <v>26</v>
      </c>
      <c r="H377" t="inlineStr">
        <is>
          <t>압력 이상</t>
        </is>
      </c>
      <c r="I377" t="n">
        <v>6</v>
      </c>
      <c r="J377" t="n">
        <v>4287</v>
      </c>
      <c r="K377" t="n">
        <v>4237</v>
      </c>
      <c r="L377" t="inlineStr">
        <is>
          <t>L-0701</t>
        </is>
      </c>
      <c r="M377">
        <f>F377-G377</f>
        <v/>
      </c>
      <c r="N377" s="2">
        <f>M377/F377</f>
        <v/>
      </c>
      <c r="O377" s="2">
        <f>I377*J377/60/M377</f>
        <v/>
      </c>
      <c r="P377" s="2">
        <f>K377/J377</f>
        <v/>
      </c>
      <c r="Q377" s="2">
        <f>N377*O377*P377</f>
        <v/>
      </c>
    </row>
    <row r="378">
      <c r="A378" t="inlineStr">
        <is>
          <t>2026-07-16</t>
        </is>
      </c>
      <c r="B378" t="inlineStr">
        <is>
          <t>야간</t>
        </is>
      </c>
      <c r="C378" t="inlineStr">
        <is>
          <t>P3</t>
        </is>
      </c>
      <c r="D378" t="inlineStr">
        <is>
          <t>소결</t>
        </is>
      </c>
      <c r="E378" t="inlineStr">
        <is>
          <t>SF-01</t>
        </is>
      </c>
      <c r="F378" t="n">
        <v>480</v>
      </c>
      <c r="G378" t="n">
        <v>52</v>
      </c>
      <c r="H378" t="inlineStr">
        <is>
          <t>재가열</t>
        </is>
      </c>
      <c r="I378" t="n">
        <v>6.5</v>
      </c>
      <c r="J378" t="n">
        <v>3817</v>
      </c>
      <c r="K378" t="n">
        <v>3714</v>
      </c>
      <c r="L378" t="inlineStr">
        <is>
          <t>L-0701</t>
        </is>
      </c>
      <c r="M378">
        <f>F378-G378</f>
        <v/>
      </c>
      <c r="N378" s="2">
        <f>M378/F378</f>
        <v/>
      </c>
      <c r="O378" s="2">
        <f>I378*J378/60/M378</f>
        <v/>
      </c>
      <c r="P378" s="2">
        <f>K378/J378</f>
        <v/>
      </c>
      <c r="Q378" s="2">
        <f>N378*O378*P378</f>
        <v/>
      </c>
    </row>
    <row r="379">
      <c r="A379" t="inlineStr">
        <is>
          <t>2026-07-16</t>
        </is>
      </c>
      <c r="B379" t="inlineStr">
        <is>
          <t>야간</t>
        </is>
      </c>
      <c r="C379" t="inlineStr">
        <is>
          <t>P3</t>
        </is>
      </c>
      <c r="D379" t="inlineStr">
        <is>
          <t>소결</t>
        </is>
      </c>
      <c r="E379" t="inlineStr">
        <is>
          <t>SF-02</t>
        </is>
      </c>
      <c r="F379" t="n">
        <v>480</v>
      </c>
      <c r="G379" t="n">
        <v>20</v>
      </c>
      <c r="H379" t="inlineStr">
        <is>
          <t>장입 대기</t>
        </is>
      </c>
      <c r="I379" t="n">
        <v>6.5</v>
      </c>
      <c r="J379" t="n">
        <v>3848</v>
      </c>
      <c r="K379" t="n">
        <v>3765</v>
      </c>
      <c r="L379" t="inlineStr">
        <is>
          <t>L-0701</t>
        </is>
      </c>
      <c r="M379">
        <f>F379-G379</f>
        <v/>
      </c>
      <c r="N379" s="2">
        <f>M379/F379</f>
        <v/>
      </c>
      <c r="O379" s="2">
        <f>I379*J379/60/M379</f>
        <v/>
      </c>
      <c r="P379" s="2">
        <f>K379/J379</f>
        <v/>
      </c>
      <c r="Q379" s="2">
        <f>N379*O379*P379</f>
        <v/>
      </c>
    </row>
    <row r="380">
      <c r="A380" t="inlineStr">
        <is>
          <t>2026-07-16</t>
        </is>
      </c>
      <c r="B380" t="inlineStr">
        <is>
          <t>야간</t>
        </is>
      </c>
      <c r="C380" t="inlineStr">
        <is>
          <t>P4</t>
        </is>
      </c>
      <c r="D380" t="inlineStr">
        <is>
          <t>연삭</t>
        </is>
      </c>
      <c r="E380" t="inlineStr">
        <is>
          <t>GR-01</t>
        </is>
      </c>
      <c r="F380" t="n">
        <v>480</v>
      </c>
      <c r="G380" t="n">
        <v>66</v>
      </c>
      <c r="H380" t="inlineStr">
        <is>
          <t>공구 교체</t>
        </is>
      </c>
      <c r="I380" t="n">
        <v>6.2</v>
      </c>
      <c r="J380" t="n">
        <v>3764</v>
      </c>
      <c r="K380" t="n">
        <v>3721</v>
      </c>
      <c r="L380" t="inlineStr">
        <is>
          <t>L-0701</t>
        </is>
      </c>
      <c r="M380">
        <f>F380-G380</f>
        <v/>
      </c>
      <c r="N380" s="2">
        <f>M380/F380</f>
        <v/>
      </c>
      <c r="O380" s="2">
        <f>I380*J380/60/M380</f>
        <v/>
      </c>
      <c r="P380" s="2">
        <f>K380/J380</f>
        <v/>
      </c>
      <c r="Q380" s="2">
        <f>N380*O380*P380</f>
        <v/>
      </c>
    </row>
    <row r="381">
      <c r="A381" t="inlineStr">
        <is>
          <t>2026-07-16</t>
        </is>
      </c>
      <c r="B381" t="inlineStr">
        <is>
          <t>야간</t>
        </is>
      </c>
      <c r="C381" t="inlineStr">
        <is>
          <t>P4</t>
        </is>
      </c>
      <c r="D381" t="inlineStr">
        <is>
          <t>연삭</t>
        </is>
      </c>
      <c r="E381" t="inlineStr">
        <is>
          <t>GR-02</t>
        </is>
      </c>
      <c r="F381" t="n">
        <v>480</v>
      </c>
      <c r="G381" t="n">
        <v>75</v>
      </c>
      <c r="H381" t="inlineStr">
        <is>
          <t>드레싱</t>
        </is>
      </c>
      <c r="I381" t="n">
        <v>6.2</v>
      </c>
      <c r="J381" t="n">
        <v>3667</v>
      </c>
      <c r="K381" t="n">
        <v>3627</v>
      </c>
      <c r="L381" t="inlineStr">
        <is>
          <t>L-0701</t>
        </is>
      </c>
      <c r="M381">
        <f>F381-G381</f>
        <v/>
      </c>
      <c r="N381" s="2">
        <f>M381/F381</f>
        <v/>
      </c>
      <c r="O381" s="2">
        <f>I381*J381/60/M381</f>
        <v/>
      </c>
      <c r="P381" s="2">
        <f>K381/J381</f>
        <v/>
      </c>
      <c r="Q381" s="2">
        <f>N381*O381*P381</f>
        <v/>
      </c>
    </row>
    <row r="382">
      <c r="A382" t="inlineStr">
        <is>
          <t>2026-07-16</t>
        </is>
      </c>
      <c r="B382" t="inlineStr">
        <is>
          <t>야간</t>
        </is>
      </c>
      <c r="C382" t="inlineStr">
        <is>
          <t>P5</t>
        </is>
      </c>
      <c r="D382" t="inlineStr">
        <is>
          <t>검사</t>
        </is>
      </c>
      <c r="E382" t="inlineStr">
        <is>
          <t>IN-01</t>
        </is>
      </c>
      <c r="F382" t="n">
        <v>480</v>
      </c>
      <c r="G382" t="n">
        <v>15</v>
      </c>
      <c r="H382" t="inlineStr">
        <is>
          <t>측정기 교정</t>
        </is>
      </c>
      <c r="I382" t="n">
        <v>5.5</v>
      </c>
      <c r="J382" t="n">
        <v>4665</v>
      </c>
      <c r="K382" t="n">
        <v>4649</v>
      </c>
      <c r="L382" t="inlineStr">
        <is>
          <t>L-0701</t>
        </is>
      </c>
      <c r="M382">
        <f>F382-G382</f>
        <v/>
      </c>
      <c r="N382" s="2">
        <f>M382/F382</f>
        <v/>
      </c>
      <c r="O382" s="2">
        <f>I382*J382/60/M382</f>
        <v/>
      </c>
      <c r="P382" s="2">
        <f>K382/J382</f>
        <v/>
      </c>
      <c r="Q382" s="2">
        <f>N382*O382*P382</f>
        <v/>
      </c>
    </row>
    <row r="383">
      <c r="A383" t="inlineStr">
        <is>
          <t>2026-07-16</t>
        </is>
      </c>
      <c r="B383" t="inlineStr">
        <is>
          <t>야간</t>
        </is>
      </c>
      <c r="C383" t="inlineStr">
        <is>
          <t>P5</t>
        </is>
      </c>
      <c r="D383" t="inlineStr">
        <is>
          <t>검사</t>
        </is>
      </c>
      <c r="E383" t="inlineStr">
        <is>
          <t>IN-02</t>
        </is>
      </c>
      <c r="F383" t="n">
        <v>480</v>
      </c>
      <c r="G383" t="n">
        <v>30</v>
      </c>
      <c r="H383" t="inlineStr">
        <is>
          <t>측정기 교정</t>
        </is>
      </c>
      <c r="I383" t="n">
        <v>5.5</v>
      </c>
      <c r="J383" t="n">
        <v>4702</v>
      </c>
      <c r="K383" t="n">
        <v>4682</v>
      </c>
      <c r="L383" t="inlineStr">
        <is>
          <t>L-0701</t>
        </is>
      </c>
      <c r="M383">
        <f>F383-G383</f>
        <v/>
      </c>
      <c r="N383" s="2">
        <f>M383/F383</f>
        <v/>
      </c>
      <c r="O383" s="2">
        <f>I383*J383/60/M383</f>
        <v/>
      </c>
      <c r="P383" s="2">
        <f>K383/J383</f>
        <v/>
      </c>
      <c r="Q383" s="2">
        <f>N383*O383*P383</f>
        <v/>
      </c>
    </row>
    <row r="384">
      <c r="A384" t="inlineStr">
        <is>
          <t>2026-07-16</t>
        </is>
      </c>
      <c r="B384" t="inlineStr">
        <is>
          <t>야간</t>
        </is>
      </c>
      <c r="C384" t="inlineStr">
        <is>
          <t>P6</t>
        </is>
      </c>
      <c r="D384" t="inlineStr">
        <is>
          <t>포장</t>
        </is>
      </c>
      <c r="E384" t="inlineStr">
        <is>
          <t>PK-01</t>
        </is>
      </c>
      <c r="F384" t="n">
        <v>480</v>
      </c>
      <c r="G384" t="n">
        <v>19</v>
      </c>
      <c r="H384" t="inlineStr">
        <is>
          <t>자재 대기</t>
        </is>
      </c>
      <c r="I384" t="n">
        <v>4.8</v>
      </c>
      <c r="J384" t="n">
        <v>5282</v>
      </c>
      <c r="K384" t="n">
        <v>5267</v>
      </c>
      <c r="L384" t="inlineStr">
        <is>
          <t>L-0701</t>
        </is>
      </c>
      <c r="M384">
        <f>F384-G384</f>
        <v/>
      </c>
      <c r="N384" s="2">
        <f>M384/F384</f>
        <v/>
      </c>
      <c r="O384" s="2">
        <f>I384*J384/60/M384</f>
        <v/>
      </c>
      <c r="P384" s="2">
        <f>K384/J384</f>
        <v/>
      </c>
      <c r="Q384" s="2">
        <f>N384*O384*P384</f>
        <v/>
      </c>
    </row>
    <row r="385">
      <c r="A385" t="inlineStr">
        <is>
          <t>2026-07-16</t>
        </is>
      </c>
      <c r="B385" t="inlineStr">
        <is>
          <t>야간</t>
        </is>
      </c>
      <c r="C385" t="inlineStr">
        <is>
          <t>P6</t>
        </is>
      </c>
      <c r="D385" t="inlineStr">
        <is>
          <t>포장</t>
        </is>
      </c>
      <c r="E385" t="inlineStr">
        <is>
          <t>PK-02</t>
        </is>
      </c>
      <c r="F385" t="n">
        <v>480</v>
      </c>
      <c r="G385" t="n">
        <v>42</v>
      </c>
      <c r="H385" t="inlineStr">
        <is>
          <t>자재 대기</t>
        </is>
      </c>
      <c r="I385" t="n">
        <v>4.8</v>
      </c>
      <c r="J385" t="n">
        <v>5120</v>
      </c>
      <c r="K385" t="n">
        <v>5106</v>
      </c>
      <c r="L385" t="inlineStr">
        <is>
          <t>L-0701</t>
        </is>
      </c>
      <c r="M385">
        <f>F385-G385</f>
        <v/>
      </c>
      <c r="N385" s="2">
        <f>M385/F385</f>
        <v/>
      </c>
      <c r="O385" s="2">
        <f>I385*J385/60/M385</f>
        <v/>
      </c>
      <c r="P385" s="2">
        <f>K385/J385</f>
        <v/>
      </c>
      <c r="Q385" s="2">
        <f>N385*O385*P385</f>
        <v/>
      </c>
    </row>
    <row r="386">
      <c r="A386" t="inlineStr">
        <is>
          <t>2026-07-17</t>
        </is>
      </c>
      <c r="B386" t="inlineStr">
        <is>
          <t>주간</t>
        </is>
      </c>
      <c r="C386" t="inlineStr">
        <is>
          <t>P1</t>
        </is>
      </c>
      <c r="D386" t="inlineStr">
        <is>
          <t>원료혼합</t>
        </is>
      </c>
      <c r="E386" t="inlineStr">
        <is>
          <t>MX-01</t>
        </is>
      </c>
      <c r="F386" t="n">
        <v>480</v>
      </c>
      <c r="G386" t="n">
        <v>21</v>
      </c>
      <c r="H386" t="inlineStr">
        <is>
          <t>원료 대기</t>
        </is>
      </c>
      <c r="I386" t="n">
        <v>5</v>
      </c>
      <c r="J386" t="n">
        <v>5124</v>
      </c>
      <c r="K386" t="n">
        <v>5091</v>
      </c>
      <c r="L386" t="inlineStr">
        <is>
          <t>L-0701</t>
        </is>
      </c>
      <c r="M386">
        <f>F386-G386</f>
        <v/>
      </c>
      <c r="N386" s="2">
        <f>M386/F386</f>
        <v/>
      </c>
      <c r="O386" s="2">
        <f>I386*J386/60/M386</f>
        <v/>
      </c>
      <c r="P386" s="2">
        <f>K386/J386</f>
        <v/>
      </c>
      <c r="Q386" s="2">
        <f>N386*O386*P386</f>
        <v/>
      </c>
    </row>
    <row r="387">
      <c r="A387" t="inlineStr">
        <is>
          <t>2026-07-17</t>
        </is>
      </c>
      <c r="B387" t="inlineStr">
        <is>
          <t>주간</t>
        </is>
      </c>
      <c r="C387" t="inlineStr">
        <is>
          <t>P1</t>
        </is>
      </c>
      <c r="D387" t="inlineStr">
        <is>
          <t>원료혼합</t>
        </is>
      </c>
      <c r="E387" t="inlineStr">
        <is>
          <t>MX-02</t>
        </is>
      </c>
      <c r="F387" t="n">
        <v>480</v>
      </c>
      <c r="G387" t="n">
        <v>19</v>
      </c>
      <c r="H387" t="inlineStr">
        <is>
          <t>청소</t>
        </is>
      </c>
      <c r="I387" t="n">
        <v>5</v>
      </c>
      <c r="J387" t="n">
        <v>5014</v>
      </c>
      <c r="K387" t="n">
        <v>4978</v>
      </c>
      <c r="L387" t="inlineStr">
        <is>
          <t>L-0701</t>
        </is>
      </c>
      <c r="M387">
        <f>F387-G387</f>
        <v/>
      </c>
      <c r="N387" s="2">
        <f>M387/F387</f>
        <v/>
      </c>
      <c r="O387" s="2">
        <f>I387*J387/60/M387</f>
        <v/>
      </c>
      <c r="P387" s="2">
        <f>K387/J387</f>
        <v/>
      </c>
      <c r="Q387" s="2">
        <f>N387*O387*P387</f>
        <v/>
      </c>
    </row>
    <row r="388">
      <c r="A388" t="inlineStr">
        <is>
          <t>2026-07-17</t>
        </is>
      </c>
      <c r="B388" t="inlineStr">
        <is>
          <t>주간</t>
        </is>
      </c>
      <c r="C388" t="inlineStr">
        <is>
          <t>P2</t>
        </is>
      </c>
      <c r="D388" t="inlineStr">
        <is>
          <t>성형</t>
        </is>
      </c>
      <c r="E388" t="inlineStr">
        <is>
          <t>PR-01</t>
        </is>
      </c>
      <c r="F388" t="n">
        <v>480</v>
      </c>
      <c r="G388" t="n">
        <v>4</v>
      </c>
      <c r="H388" t="inlineStr">
        <is>
          <t>금형 교체</t>
        </is>
      </c>
      <c r="I388" t="n">
        <v>6</v>
      </c>
      <c r="J388" t="n">
        <v>4213</v>
      </c>
      <c r="K388" t="n">
        <v>4179</v>
      </c>
      <c r="L388" t="inlineStr">
        <is>
          <t>L-0701</t>
        </is>
      </c>
      <c r="M388">
        <f>F388-G388</f>
        <v/>
      </c>
      <c r="N388" s="2">
        <f>M388/F388</f>
        <v/>
      </c>
      <c r="O388" s="2">
        <f>I388*J388/60/M388</f>
        <v/>
      </c>
      <c r="P388" s="2">
        <f>K388/J388</f>
        <v/>
      </c>
      <c r="Q388" s="2">
        <f>N388*O388*P388</f>
        <v/>
      </c>
    </row>
    <row r="389">
      <c r="A389" t="inlineStr">
        <is>
          <t>2026-07-17</t>
        </is>
      </c>
      <c r="B389" t="inlineStr">
        <is>
          <t>주간</t>
        </is>
      </c>
      <c r="C389" t="inlineStr">
        <is>
          <t>P2</t>
        </is>
      </c>
      <c r="D389" t="inlineStr">
        <is>
          <t>성형</t>
        </is>
      </c>
      <c r="E389" t="inlineStr">
        <is>
          <t>PR-02</t>
        </is>
      </c>
      <c r="F389" t="n">
        <v>480</v>
      </c>
      <c r="G389" t="n">
        <v>20</v>
      </c>
      <c r="H389" t="inlineStr">
        <is>
          <t>분말 공급 지연</t>
        </is>
      </c>
      <c r="I389" t="n">
        <v>6</v>
      </c>
      <c r="J389" t="n">
        <v>4017</v>
      </c>
      <c r="K389" t="n">
        <v>3985</v>
      </c>
      <c r="L389" t="inlineStr">
        <is>
          <t>L-0701</t>
        </is>
      </c>
      <c r="M389">
        <f>F389-G389</f>
        <v/>
      </c>
      <c r="N389" s="2">
        <f>M389/F389</f>
        <v/>
      </c>
      <c r="O389" s="2">
        <f>I389*J389/60/M389</f>
        <v/>
      </c>
      <c r="P389" s="2">
        <f>K389/J389</f>
        <v/>
      </c>
      <c r="Q389" s="2">
        <f>N389*O389*P389</f>
        <v/>
      </c>
    </row>
    <row r="390">
      <c r="A390" t="inlineStr">
        <is>
          <t>2026-07-17</t>
        </is>
      </c>
      <c r="B390" t="inlineStr">
        <is>
          <t>주간</t>
        </is>
      </c>
      <c r="C390" t="inlineStr">
        <is>
          <t>P3</t>
        </is>
      </c>
      <c r="D390" t="inlineStr">
        <is>
          <t>소결</t>
        </is>
      </c>
      <c r="E390" t="inlineStr">
        <is>
          <t>SF-01</t>
        </is>
      </c>
      <c r="F390" t="n">
        <v>480</v>
      </c>
      <c r="G390" t="n">
        <v>40</v>
      </c>
      <c r="H390" t="inlineStr">
        <is>
          <t>재가열</t>
        </is>
      </c>
      <c r="I390" t="n">
        <v>6.5</v>
      </c>
      <c r="J390" t="n">
        <v>3829</v>
      </c>
      <c r="K390" t="n">
        <v>3711</v>
      </c>
      <c r="L390" t="inlineStr">
        <is>
          <t>L-0701</t>
        </is>
      </c>
      <c r="M390">
        <f>F390-G390</f>
        <v/>
      </c>
      <c r="N390" s="2">
        <f>M390/F390</f>
        <v/>
      </c>
      <c r="O390" s="2">
        <f>I390*J390/60/M390</f>
        <v/>
      </c>
      <c r="P390" s="2">
        <f>K390/J390</f>
        <v/>
      </c>
      <c r="Q390" s="2">
        <f>N390*O390*P390</f>
        <v/>
      </c>
    </row>
    <row r="391">
      <c r="A391" t="inlineStr">
        <is>
          <t>2026-07-17</t>
        </is>
      </c>
      <c r="B391" t="inlineStr">
        <is>
          <t>주간</t>
        </is>
      </c>
      <c r="C391" t="inlineStr">
        <is>
          <t>P3</t>
        </is>
      </c>
      <c r="D391" t="inlineStr">
        <is>
          <t>소결</t>
        </is>
      </c>
      <c r="E391" t="inlineStr">
        <is>
          <t>SF-02</t>
        </is>
      </c>
      <c r="F391" t="n">
        <v>480</v>
      </c>
      <c r="G391" t="n">
        <v>41</v>
      </c>
      <c r="H391" t="inlineStr">
        <is>
          <t>온도 이상 정지</t>
        </is>
      </c>
      <c r="I391" t="n">
        <v>6.5</v>
      </c>
      <c r="J391" t="n">
        <v>3915</v>
      </c>
      <c r="K391" t="n">
        <v>3832</v>
      </c>
      <c r="L391" t="inlineStr">
        <is>
          <t>L-0701</t>
        </is>
      </c>
      <c r="M391">
        <f>F391-G391</f>
        <v/>
      </c>
      <c r="N391" s="2">
        <f>M391/F391</f>
        <v/>
      </c>
      <c r="O391" s="2">
        <f>I391*J391/60/M391</f>
        <v/>
      </c>
      <c r="P391" s="2">
        <f>K391/J391</f>
        <v/>
      </c>
      <c r="Q391" s="2">
        <f>N391*O391*P391</f>
        <v/>
      </c>
    </row>
    <row r="392">
      <c r="A392" t="inlineStr">
        <is>
          <t>2026-07-17</t>
        </is>
      </c>
      <c r="B392" t="inlineStr">
        <is>
          <t>주간</t>
        </is>
      </c>
      <c r="C392" t="inlineStr">
        <is>
          <t>P4</t>
        </is>
      </c>
      <c r="D392" t="inlineStr">
        <is>
          <t>연삭</t>
        </is>
      </c>
      <c r="E392" t="inlineStr">
        <is>
          <t>GR-01</t>
        </is>
      </c>
      <c r="F392" t="n">
        <v>480</v>
      </c>
      <c r="G392" t="n">
        <v>61</v>
      </c>
      <c r="H392" t="inlineStr">
        <is>
          <t>공구 교체</t>
        </is>
      </c>
      <c r="I392" t="n">
        <v>6.2</v>
      </c>
      <c r="J392" t="n">
        <v>3693</v>
      </c>
      <c r="K392" t="n">
        <v>3650</v>
      </c>
      <c r="L392" t="inlineStr">
        <is>
          <t>L-0701</t>
        </is>
      </c>
      <c r="M392">
        <f>F392-G392</f>
        <v/>
      </c>
      <c r="N392" s="2">
        <f>M392/F392</f>
        <v/>
      </c>
      <c r="O392" s="2">
        <f>I392*J392/60/M392</f>
        <v/>
      </c>
      <c r="P392" s="2">
        <f>K392/J392</f>
        <v/>
      </c>
      <c r="Q392" s="2">
        <f>N392*O392*P392</f>
        <v/>
      </c>
    </row>
    <row r="393">
      <c r="A393" t="inlineStr">
        <is>
          <t>2026-07-17</t>
        </is>
      </c>
      <c r="B393" t="inlineStr">
        <is>
          <t>주간</t>
        </is>
      </c>
      <c r="C393" t="inlineStr">
        <is>
          <t>P4</t>
        </is>
      </c>
      <c r="D393" t="inlineStr">
        <is>
          <t>연삭</t>
        </is>
      </c>
      <c r="E393" t="inlineStr">
        <is>
          <t>GR-02</t>
        </is>
      </c>
      <c r="F393" t="n">
        <v>480</v>
      </c>
      <c r="G393" t="n">
        <v>88</v>
      </c>
      <c r="H393" t="inlineStr">
        <is>
          <t>공구 교체</t>
        </is>
      </c>
      <c r="I393" t="n">
        <v>6.2</v>
      </c>
      <c r="J393" t="n">
        <v>3544</v>
      </c>
      <c r="K393" t="n">
        <v>3501</v>
      </c>
      <c r="L393" t="inlineStr">
        <is>
          <t>L-0701</t>
        </is>
      </c>
      <c r="M393">
        <f>F393-G393</f>
        <v/>
      </c>
      <c r="N393" s="2">
        <f>M393/F393</f>
        <v/>
      </c>
      <c r="O393" s="2">
        <f>I393*J393/60/M393</f>
        <v/>
      </c>
      <c r="P393" s="2">
        <f>K393/J393</f>
        <v/>
      </c>
      <c r="Q393" s="2">
        <f>N393*O393*P393</f>
        <v/>
      </c>
    </row>
    <row r="394">
      <c r="A394" t="inlineStr">
        <is>
          <t>2026-07-17</t>
        </is>
      </c>
      <c r="B394" t="inlineStr">
        <is>
          <t>주간</t>
        </is>
      </c>
      <c r="C394" t="inlineStr">
        <is>
          <t>P5</t>
        </is>
      </c>
      <c r="D394" t="inlineStr">
        <is>
          <t>검사</t>
        </is>
      </c>
      <c r="E394" t="inlineStr">
        <is>
          <t>IN-01</t>
        </is>
      </c>
      <c r="F394" t="n">
        <v>480</v>
      </c>
      <c r="G394" t="n">
        <v>16</v>
      </c>
      <c r="H394" t="inlineStr">
        <is>
          <t>샘플 재검</t>
        </is>
      </c>
      <c r="I394" t="n">
        <v>5.5</v>
      </c>
      <c r="J394" t="n">
        <v>4771</v>
      </c>
      <c r="K394" t="n">
        <v>4757</v>
      </c>
      <c r="L394" t="inlineStr">
        <is>
          <t>L-0701</t>
        </is>
      </c>
      <c r="M394">
        <f>F394-G394</f>
        <v/>
      </c>
      <c r="N394" s="2">
        <f>M394/F394</f>
        <v/>
      </c>
      <c r="O394" s="2">
        <f>I394*J394/60/M394</f>
        <v/>
      </c>
      <c r="P394" s="2">
        <f>K394/J394</f>
        <v/>
      </c>
      <c r="Q394" s="2">
        <f>N394*O394*P394</f>
        <v/>
      </c>
    </row>
    <row r="395">
      <c r="A395" t="inlineStr">
        <is>
          <t>2026-07-17</t>
        </is>
      </c>
      <c r="B395" t="inlineStr">
        <is>
          <t>주간</t>
        </is>
      </c>
      <c r="C395" t="inlineStr">
        <is>
          <t>P5</t>
        </is>
      </c>
      <c r="D395" t="inlineStr">
        <is>
          <t>검사</t>
        </is>
      </c>
      <c r="E395" t="inlineStr">
        <is>
          <t>IN-02</t>
        </is>
      </c>
      <c r="F395" t="n">
        <v>480</v>
      </c>
      <c r="G395" t="n">
        <v>68</v>
      </c>
      <c r="H395" t="inlineStr">
        <is>
          <t>샘플 재검</t>
        </is>
      </c>
      <c r="I395" t="n">
        <v>5.5</v>
      </c>
      <c r="J395" t="n">
        <v>4358</v>
      </c>
      <c r="K395" t="n">
        <v>4346</v>
      </c>
      <c r="L395" t="inlineStr">
        <is>
          <t>L-0701</t>
        </is>
      </c>
      <c r="M395">
        <f>F395-G395</f>
        <v/>
      </c>
      <c r="N395" s="2">
        <f>M395/F395</f>
        <v/>
      </c>
      <c r="O395" s="2">
        <f>I395*J395/60/M395</f>
        <v/>
      </c>
      <c r="P395" s="2">
        <f>K395/J395</f>
        <v/>
      </c>
      <c r="Q395" s="2">
        <f>N395*O395*P395</f>
        <v/>
      </c>
    </row>
    <row r="396">
      <c r="A396" t="inlineStr">
        <is>
          <t>2026-07-17</t>
        </is>
      </c>
      <c r="B396" t="inlineStr">
        <is>
          <t>주간</t>
        </is>
      </c>
      <c r="C396" t="inlineStr">
        <is>
          <t>P6</t>
        </is>
      </c>
      <c r="D396" t="inlineStr">
        <is>
          <t>포장</t>
        </is>
      </c>
      <c r="E396" t="inlineStr">
        <is>
          <t>PK-01</t>
        </is>
      </c>
      <c r="F396" t="n">
        <v>480</v>
      </c>
      <c r="G396" t="n">
        <v>48</v>
      </c>
      <c r="H396" t="inlineStr">
        <is>
          <t>자재 대기</t>
        </is>
      </c>
      <c r="I396" t="n">
        <v>4.8</v>
      </c>
      <c r="J396" t="n">
        <v>5068</v>
      </c>
      <c r="K396" t="n">
        <v>5058</v>
      </c>
      <c r="L396" t="inlineStr">
        <is>
          <t>L-0701</t>
        </is>
      </c>
      <c r="M396">
        <f>F396-G396</f>
        <v/>
      </c>
      <c r="N396" s="2">
        <f>M396/F396</f>
        <v/>
      </c>
      <c r="O396" s="2">
        <f>I396*J396/60/M396</f>
        <v/>
      </c>
      <c r="P396" s="2">
        <f>K396/J396</f>
        <v/>
      </c>
      <c r="Q396" s="2">
        <f>N396*O396*P396</f>
        <v/>
      </c>
    </row>
    <row r="397">
      <c r="A397" t="inlineStr">
        <is>
          <t>2026-07-17</t>
        </is>
      </c>
      <c r="B397" t="inlineStr">
        <is>
          <t>주간</t>
        </is>
      </c>
      <c r="C397" t="inlineStr">
        <is>
          <t>P6</t>
        </is>
      </c>
      <c r="D397" t="inlineStr">
        <is>
          <t>포장</t>
        </is>
      </c>
      <c r="E397" t="inlineStr">
        <is>
          <t>PK-02</t>
        </is>
      </c>
      <c r="F397" t="n">
        <v>480</v>
      </c>
      <c r="G397" t="n">
        <v>13</v>
      </c>
      <c r="H397" t="inlineStr">
        <is>
          <t>라벨 교체</t>
        </is>
      </c>
      <c r="I397" t="n">
        <v>4.8</v>
      </c>
      <c r="J397" t="n">
        <v>5333</v>
      </c>
      <c r="K397" t="n">
        <v>5321</v>
      </c>
      <c r="L397" t="inlineStr">
        <is>
          <t>L-0701</t>
        </is>
      </c>
      <c r="M397">
        <f>F397-G397</f>
        <v/>
      </c>
      <c r="N397" s="2">
        <f>M397/F397</f>
        <v/>
      </c>
      <c r="O397" s="2">
        <f>I397*J397/60/M397</f>
        <v/>
      </c>
      <c r="P397" s="2">
        <f>K397/J397</f>
        <v/>
      </c>
      <c r="Q397" s="2">
        <f>N397*O397*P397</f>
        <v/>
      </c>
    </row>
    <row r="398">
      <c r="A398" t="inlineStr">
        <is>
          <t>2026-07-17</t>
        </is>
      </c>
      <c r="B398" t="inlineStr">
        <is>
          <t>야간</t>
        </is>
      </c>
      <c r="C398" t="inlineStr">
        <is>
          <t>P1</t>
        </is>
      </c>
      <c r="D398" t="inlineStr">
        <is>
          <t>원료혼합</t>
        </is>
      </c>
      <c r="E398" t="inlineStr">
        <is>
          <t>MX-01</t>
        </is>
      </c>
      <c r="F398" t="n">
        <v>480</v>
      </c>
      <c r="G398" t="n">
        <v>12</v>
      </c>
      <c r="H398" t="inlineStr">
        <is>
          <t>원료 대기</t>
        </is>
      </c>
      <c r="I398" t="n">
        <v>5</v>
      </c>
      <c r="J398" t="n">
        <v>4808</v>
      </c>
      <c r="K398" t="n">
        <v>4780</v>
      </c>
      <c r="L398" t="inlineStr">
        <is>
          <t>L-0701</t>
        </is>
      </c>
      <c r="M398">
        <f>F398-G398</f>
        <v/>
      </c>
      <c r="N398" s="2">
        <f>M398/F398</f>
        <v/>
      </c>
      <c r="O398" s="2">
        <f>I398*J398/60/M398</f>
        <v/>
      </c>
      <c r="P398" s="2">
        <f>K398/J398</f>
        <v/>
      </c>
      <c r="Q398" s="2">
        <f>N398*O398*P398</f>
        <v/>
      </c>
    </row>
    <row r="399">
      <c r="A399" t="inlineStr">
        <is>
          <t>2026-07-17</t>
        </is>
      </c>
      <c r="B399" t="inlineStr">
        <is>
          <t>야간</t>
        </is>
      </c>
      <c r="C399" t="inlineStr">
        <is>
          <t>P1</t>
        </is>
      </c>
      <c r="D399" t="inlineStr">
        <is>
          <t>원료혼합</t>
        </is>
      </c>
      <c r="E399" t="inlineStr">
        <is>
          <t>MX-02</t>
        </is>
      </c>
      <c r="F399" t="n">
        <v>480</v>
      </c>
      <c r="G399" t="n">
        <v>37</v>
      </c>
      <c r="H399" t="inlineStr">
        <is>
          <t>청소</t>
        </is>
      </c>
      <c r="I399" t="n">
        <v>5</v>
      </c>
      <c r="J399" t="n">
        <v>4822</v>
      </c>
      <c r="K399" t="n">
        <v>4790</v>
      </c>
      <c r="L399" t="inlineStr">
        <is>
          <t>L-0701</t>
        </is>
      </c>
      <c r="M399">
        <f>F399-G399</f>
        <v/>
      </c>
      <c r="N399" s="2">
        <f>M399/F399</f>
        <v/>
      </c>
      <c r="O399" s="2">
        <f>I399*J399/60/M399</f>
        <v/>
      </c>
      <c r="P399" s="2">
        <f>K399/J399</f>
        <v/>
      </c>
      <c r="Q399" s="2">
        <f>N399*O399*P399</f>
        <v/>
      </c>
    </row>
    <row r="400">
      <c r="A400" t="inlineStr">
        <is>
          <t>2026-07-17</t>
        </is>
      </c>
      <c r="B400" t="inlineStr">
        <is>
          <t>야간</t>
        </is>
      </c>
      <c r="C400" t="inlineStr">
        <is>
          <t>P2</t>
        </is>
      </c>
      <c r="D400" t="inlineStr">
        <is>
          <t>성형</t>
        </is>
      </c>
      <c r="E400" t="inlineStr">
        <is>
          <t>PR-01</t>
        </is>
      </c>
      <c r="F400" t="n">
        <v>480</v>
      </c>
      <c r="G400" t="n">
        <v>5</v>
      </c>
      <c r="H400" t="inlineStr">
        <is>
          <t>압력 이상</t>
        </is>
      </c>
      <c r="I400" t="n">
        <v>6</v>
      </c>
      <c r="J400" t="n">
        <v>4411</v>
      </c>
      <c r="K400" t="n">
        <v>4363</v>
      </c>
      <c r="L400" t="inlineStr">
        <is>
          <t>L-0701</t>
        </is>
      </c>
      <c r="M400">
        <f>F400-G400</f>
        <v/>
      </c>
      <c r="N400" s="2">
        <f>M400/F400</f>
        <v/>
      </c>
      <c r="O400" s="2">
        <f>I400*J400/60/M400</f>
        <v/>
      </c>
      <c r="P400" s="2">
        <f>K400/J400</f>
        <v/>
      </c>
      <c r="Q400" s="2">
        <f>N400*O400*P400</f>
        <v/>
      </c>
    </row>
    <row r="401">
      <c r="A401" t="inlineStr">
        <is>
          <t>2026-07-17</t>
        </is>
      </c>
      <c r="B401" t="inlineStr">
        <is>
          <t>야간</t>
        </is>
      </c>
      <c r="C401" t="inlineStr">
        <is>
          <t>P2</t>
        </is>
      </c>
      <c r="D401" t="inlineStr">
        <is>
          <t>성형</t>
        </is>
      </c>
      <c r="E401" t="inlineStr">
        <is>
          <t>PR-02</t>
        </is>
      </c>
      <c r="F401" t="n">
        <v>480</v>
      </c>
      <c r="G401" t="n">
        <v>26</v>
      </c>
      <c r="H401" t="inlineStr">
        <is>
          <t>압력 이상</t>
        </is>
      </c>
      <c r="I401" t="n">
        <v>6</v>
      </c>
      <c r="J401" t="n">
        <v>4195</v>
      </c>
      <c r="K401" t="n">
        <v>4153</v>
      </c>
      <c r="L401" t="inlineStr">
        <is>
          <t>L-0701</t>
        </is>
      </c>
      <c r="M401">
        <f>F401-G401</f>
        <v/>
      </c>
      <c r="N401" s="2">
        <f>M401/F401</f>
        <v/>
      </c>
      <c r="O401" s="2">
        <f>I401*J401/60/M401</f>
        <v/>
      </c>
      <c r="P401" s="2">
        <f>K401/J401</f>
        <v/>
      </c>
      <c r="Q401" s="2">
        <f>N401*O401*P401</f>
        <v/>
      </c>
    </row>
    <row r="402">
      <c r="A402" t="inlineStr">
        <is>
          <t>2026-07-17</t>
        </is>
      </c>
      <c r="B402" t="inlineStr">
        <is>
          <t>야간</t>
        </is>
      </c>
      <c r="C402" t="inlineStr">
        <is>
          <t>P3</t>
        </is>
      </c>
      <c r="D402" t="inlineStr">
        <is>
          <t>소결</t>
        </is>
      </c>
      <c r="E402" t="inlineStr">
        <is>
          <t>SF-01</t>
        </is>
      </c>
      <c r="F402" t="n">
        <v>480</v>
      </c>
      <c r="G402" t="n">
        <v>55</v>
      </c>
      <c r="H402" t="inlineStr">
        <is>
          <t>승온 대기</t>
        </is>
      </c>
      <c r="I402" t="n">
        <v>6.5</v>
      </c>
      <c r="J402" t="n">
        <v>3616</v>
      </c>
      <c r="K402" t="n">
        <v>3545</v>
      </c>
      <c r="L402" t="inlineStr">
        <is>
          <t>L-0701</t>
        </is>
      </c>
      <c r="M402">
        <f>F402-G402</f>
        <v/>
      </c>
      <c r="N402" s="2">
        <f>M402/F402</f>
        <v/>
      </c>
      <c r="O402" s="2">
        <f>I402*J402/60/M402</f>
        <v/>
      </c>
      <c r="P402" s="2">
        <f>K402/J402</f>
        <v/>
      </c>
      <c r="Q402" s="2">
        <f>N402*O402*P402</f>
        <v/>
      </c>
    </row>
    <row r="403">
      <c r="A403" t="inlineStr">
        <is>
          <t>2026-07-17</t>
        </is>
      </c>
      <c r="B403" t="inlineStr">
        <is>
          <t>야간</t>
        </is>
      </c>
      <c r="C403" t="inlineStr">
        <is>
          <t>P3</t>
        </is>
      </c>
      <c r="D403" t="inlineStr">
        <is>
          <t>소결</t>
        </is>
      </c>
      <c r="E403" t="inlineStr">
        <is>
          <t>SF-02</t>
        </is>
      </c>
      <c r="F403" t="n">
        <v>480</v>
      </c>
      <c r="G403" t="n">
        <v>77</v>
      </c>
      <c r="H403" t="inlineStr">
        <is>
          <t>장입 대기</t>
        </is>
      </c>
      <c r="I403" t="n">
        <v>6.5</v>
      </c>
      <c r="J403" t="n">
        <v>3390</v>
      </c>
      <c r="K403" t="n">
        <v>3307</v>
      </c>
      <c r="L403" t="inlineStr">
        <is>
          <t>L-0701</t>
        </is>
      </c>
      <c r="M403">
        <f>F403-G403</f>
        <v/>
      </c>
      <c r="N403" s="2">
        <f>M403/F403</f>
        <v/>
      </c>
      <c r="O403" s="2">
        <f>I403*J403/60/M403</f>
        <v/>
      </c>
      <c r="P403" s="2">
        <f>K403/J403</f>
        <v/>
      </c>
      <c r="Q403" s="2">
        <f>N403*O403*P403</f>
        <v/>
      </c>
    </row>
    <row r="404">
      <c r="A404" t="inlineStr">
        <is>
          <t>2026-07-17</t>
        </is>
      </c>
      <c r="B404" t="inlineStr">
        <is>
          <t>야간</t>
        </is>
      </c>
      <c r="C404" t="inlineStr">
        <is>
          <t>P4</t>
        </is>
      </c>
      <c r="D404" t="inlineStr">
        <is>
          <t>연삭</t>
        </is>
      </c>
      <c r="E404" t="inlineStr">
        <is>
          <t>GR-01</t>
        </is>
      </c>
      <c r="F404" t="n">
        <v>480</v>
      </c>
      <c r="G404" t="n">
        <v>24</v>
      </c>
      <c r="H404" t="inlineStr">
        <is>
          <t>드레싱</t>
        </is>
      </c>
      <c r="I404" t="n">
        <v>6.2</v>
      </c>
      <c r="J404" t="n">
        <v>4141</v>
      </c>
      <c r="K404" t="n">
        <v>4099</v>
      </c>
      <c r="L404" t="inlineStr">
        <is>
          <t>L-0701</t>
        </is>
      </c>
      <c r="M404">
        <f>F404-G404</f>
        <v/>
      </c>
      <c r="N404" s="2">
        <f>M404/F404</f>
        <v/>
      </c>
      <c r="O404" s="2">
        <f>I404*J404/60/M404</f>
        <v/>
      </c>
      <c r="P404" s="2">
        <f>K404/J404</f>
        <v/>
      </c>
      <c r="Q404" s="2">
        <f>N404*O404*P404</f>
        <v/>
      </c>
    </row>
    <row r="405">
      <c r="A405" t="inlineStr">
        <is>
          <t>2026-07-17</t>
        </is>
      </c>
      <c r="B405" t="inlineStr">
        <is>
          <t>야간</t>
        </is>
      </c>
      <c r="C405" t="inlineStr">
        <is>
          <t>P4</t>
        </is>
      </c>
      <c r="D405" t="inlineStr">
        <is>
          <t>연삭</t>
        </is>
      </c>
      <c r="E405" t="inlineStr">
        <is>
          <t>GR-02</t>
        </is>
      </c>
      <c r="F405" t="n">
        <v>480</v>
      </c>
      <c r="G405" t="n">
        <v>55</v>
      </c>
      <c r="H405" t="inlineStr">
        <is>
          <t>공구 교체</t>
        </is>
      </c>
      <c r="I405" t="n">
        <v>6.2</v>
      </c>
      <c r="J405" t="n">
        <v>3951</v>
      </c>
      <c r="K405" t="n">
        <v>3902</v>
      </c>
      <c r="L405" t="inlineStr">
        <is>
          <t>L-0701</t>
        </is>
      </c>
      <c r="M405">
        <f>F405-G405</f>
        <v/>
      </c>
      <c r="N405" s="2">
        <f>M405/F405</f>
        <v/>
      </c>
      <c r="O405" s="2">
        <f>I405*J405/60/M405</f>
        <v/>
      </c>
      <c r="P405" s="2">
        <f>K405/J405</f>
        <v/>
      </c>
      <c r="Q405" s="2">
        <f>N405*O405*P405</f>
        <v/>
      </c>
    </row>
    <row r="406">
      <c r="A406" t="inlineStr">
        <is>
          <t>2026-07-17</t>
        </is>
      </c>
      <c r="B406" t="inlineStr">
        <is>
          <t>야간</t>
        </is>
      </c>
      <c r="C406" t="inlineStr">
        <is>
          <t>P5</t>
        </is>
      </c>
      <c r="D406" t="inlineStr">
        <is>
          <t>검사</t>
        </is>
      </c>
      <c r="E406" t="inlineStr">
        <is>
          <t>IN-01</t>
        </is>
      </c>
      <c r="F406" t="n">
        <v>480</v>
      </c>
      <c r="G406" t="n">
        <v>7</v>
      </c>
      <c r="H406" t="inlineStr">
        <is>
          <t>측정기 교정</t>
        </is>
      </c>
      <c r="I406" t="n">
        <v>5.5</v>
      </c>
      <c r="J406" t="n">
        <v>4937</v>
      </c>
      <c r="K406" t="n">
        <v>4918</v>
      </c>
      <c r="L406" t="inlineStr">
        <is>
          <t>L-0701</t>
        </is>
      </c>
      <c r="M406">
        <f>F406-G406</f>
        <v/>
      </c>
      <c r="N406" s="2">
        <f>M406/F406</f>
        <v/>
      </c>
      <c r="O406" s="2">
        <f>I406*J406/60/M406</f>
        <v/>
      </c>
      <c r="P406" s="2">
        <f>K406/J406</f>
        <v/>
      </c>
      <c r="Q406" s="2">
        <f>N406*O406*P406</f>
        <v/>
      </c>
    </row>
    <row r="407">
      <c r="A407" t="inlineStr">
        <is>
          <t>2026-07-17</t>
        </is>
      </c>
      <c r="B407" t="inlineStr">
        <is>
          <t>야간</t>
        </is>
      </c>
      <c r="C407" t="inlineStr">
        <is>
          <t>P5</t>
        </is>
      </c>
      <c r="D407" t="inlineStr">
        <is>
          <t>검사</t>
        </is>
      </c>
      <c r="E407" t="inlineStr">
        <is>
          <t>IN-02</t>
        </is>
      </c>
      <c r="F407" t="n">
        <v>480</v>
      </c>
      <c r="G407" t="n">
        <v>23</v>
      </c>
      <c r="H407" t="inlineStr">
        <is>
          <t>측정기 교정</t>
        </is>
      </c>
      <c r="I407" t="n">
        <v>5.5</v>
      </c>
      <c r="J407" t="n">
        <v>4479</v>
      </c>
      <c r="K407" t="n">
        <v>4461</v>
      </c>
      <c r="L407" t="inlineStr">
        <is>
          <t>L-0701</t>
        </is>
      </c>
      <c r="M407">
        <f>F407-G407</f>
        <v/>
      </c>
      <c r="N407" s="2">
        <f>M407/F407</f>
        <v/>
      </c>
      <c r="O407" s="2">
        <f>I407*J407/60/M407</f>
        <v/>
      </c>
      <c r="P407" s="2">
        <f>K407/J407</f>
        <v/>
      </c>
      <c r="Q407" s="2">
        <f>N407*O407*P407</f>
        <v/>
      </c>
    </row>
    <row r="408">
      <c r="A408" t="inlineStr">
        <is>
          <t>2026-07-17</t>
        </is>
      </c>
      <c r="B408" t="inlineStr">
        <is>
          <t>야간</t>
        </is>
      </c>
      <c r="C408" t="inlineStr">
        <is>
          <t>P6</t>
        </is>
      </c>
      <c r="D408" t="inlineStr">
        <is>
          <t>포장</t>
        </is>
      </c>
      <c r="E408" t="inlineStr">
        <is>
          <t>PK-01</t>
        </is>
      </c>
      <c r="F408" t="n">
        <v>480</v>
      </c>
      <c r="G408" t="n">
        <v>4</v>
      </c>
      <c r="H408" t="inlineStr">
        <is>
          <t>라벨 교체</t>
        </is>
      </c>
      <c r="I408" t="n">
        <v>4.8</v>
      </c>
      <c r="J408" t="n">
        <v>5212</v>
      </c>
      <c r="K408" t="n">
        <v>5199</v>
      </c>
      <c r="L408" t="inlineStr">
        <is>
          <t>L-0701</t>
        </is>
      </c>
      <c r="M408">
        <f>F408-G408</f>
        <v/>
      </c>
      <c r="N408" s="2">
        <f>M408/F408</f>
        <v/>
      </c>
      <c r="O408" s="2">
        <f>I408*J408/60/M408</f>
        <v/>
      </c>
      <c r="P408" s="2">
        <f>K408/J408</f>
        <v/>
      </c>
      <c r="Q408" s="2">
        <f>N408*O408*P408</f>
        <v/>
      </c>
    </row>
    <row r="409">
      <c r="A409" t="inlineStr">
        <is>
          <t>2026-07-17</t>
        </is>
      </c>
      <c r="B409" t="inlineStr">
        <is>
          <t>야간</t>
        </is>
      </c>
      <c r="C409" t="inlineStr">
        <is>
          <t>P6</t>
        </is>
      </c>
      <c r="D409" t="inlineStr">
        <is>
          <t>포장</t>
        </is>
      </c>
      <c r="E409" t="inlineStr">
        <is>
          <t>PK-02</t>
        </is>
      </c>
      <c r="F409" t="n">
        <v>480</v>
      </c>
      <c r="G409" t="n">
        <v>41</v>
      </c>
      <c r="H409" t="inlineStr">
        <is>
          <t>라벨 교체</t>
        </is>
      </c>
      <c r="I409" t="n">
        <v>4.8</v>
      </c>
      <c r="J409" t="n">
        <v>5003</v>
      </c>
      <c r="K409" t="n">
        <v>4990</v>
      </c>
      <c r="L409" t="inlineStr">
        <is>
          <t>L-0701</t>
        </is>
      </c>
      <c r="M409">
        <f>F409-G409</f>
        <v/>
      </c>
      <c r="N409" s="2">
        <f>M409/F409</f>
        <v/>
      </c>
      <c r="O409" s="2">
        <f>I409*J409/60/M409</f>
        <v/>
      </c>
      <c r="P409" s="2">
        <f>K409/J409</f>
        <v/>
      </c>
      <c r="Q409" s="2">
        <f>N409*O409*P409</f>
        <v/>
      </c>
    </row>
    <row r="410">
      <c r="A410" t="inlineStr">
        <is>
          <t>2026-07-18</t>
        </is>
      </c>
      <c r="B410" t="inlineStr">
        <is>
          <t>주간</t>
        </is>
      </c>
      <c r="C410" t="inlineStr">
        <is>
          <t>P1</t>
        </is>
      </c>
      <c r="D410" t="inlineStr">
        <is>
          <t>원료혼합</t>
        </is>
      </c>
      <c r="E410" t="inlineStr">
        <is>
          <t>MX-01</t>
        </is>
      </c>
      <c r="F410" t="n">
        <v>480</v>
      </c>
      <c r="G410" t="n">
        <v>10</v>
      </c>
      <c r="H410" t="inlineStr">
        <is>
          <t>원료 대기</t>
        </is>
      </c>
      <c r="I410" t="n">
        <v>5</v>
      </c>
      <c r="J410" t="n">
        <v>5187</v>
      </c>
      <c r="K410" t="n">
        <v>5158</v>
      </c>
      <c r="L410" t="inlineStr">
        <is>
          <t>L-0701</t>
        </is>
      </c>
      <c r="M410">
        <f>F410-G410</f>
        <v/>
      </c>
      <c r="N410" s="2">
        <f>M410/F410</f>
        <v/>
      </c>
      <c r="O410" s="2">
        <f>I410*J410/60/M410</f>
        <v/>
      </c>
      <c r="P410" s="2">
        <f>K410/J410</f>
        <v/>
      </c>
      <c r="Q410" s="2">
        <f>N410*O410*P410</f>
        <v/>
      </c>
    </row>
    <row r="411">
      <c r="A411" t="inlineStr">
        <is>
          <t>2026-07-18</t>
        </is>
      </c>
      <c r="B411" t="inlineStr">
        <is>
          <t>주간</t>
        </is>
      </c>
      <c r="C411" t="inlineStr">
        <is>
          <t>P1</t>
        </is>
      </c>
      <c r="D411" t="inlineStr">
        <is>
          <t>원료혼합</t>
        </is>
      </c>
      <c r="E411" t="inlineStr">
        <is>
          <t>MX-02</t>
        </is>
      </c>
      <c r="F411" t="n">
        <v>480</v>
      </c>
      <c r="G411" t="n">
        <v>15</v>
      </c>
      <c r="H411" t="inlineStr">
        <is>
          <t>배합 확인</t>
        </is>
      </c>
      <c r="I411" t="n">
        <v>5</v>
      </c>
      <c r="J411" t="n">
        <v>5244</v>
      </c>
      <c r="K411" t="n">
        <v>5209</v>
      </c>
      <c r="L411" t="inlineStr">
        <is>
          <t>L-0701</t>
        </is>
      </c>
      <c r="M411">
        <f>F411-G411</f>
        <v/>
      </c>
      <c r="N411" s="2">
        <f>M411/F411</f>
        <v/>
      </c>
      <c r="O411" s="2">
        <f>I411*J411/60/M411</f>
        <v/>
      </c>
      <c r="P411" s="2">
        <f>K411/J411</f>
        <v/>
      </c>
      <c r="Q411" s="2">
        <f>N411*O411*P411</f>
        <v/>
      </c>
    </row>
    <row r="412">
      <c r="A412" t="inlineStr">
        <is>
          <t>2026-07-18</t>
        </is>
      </c>
      <c r="B412" t="inlineStr">
        <is>
          <t>주간</t>
        </is>
      </c>
      <c r="C412" t="inlineStr">
        <is>
          <t>P2</t>
        </is>
      </c>
      <c r="D412" t="inlineStr">
        <is>
          <t>성형</t>
        </is>
      </c>
      <c r="E412" t="inlineStr">
        <is>
          <t>PR-01</t>
        </is>
      </c>
      <c r="F412" t="n">
        <v>480</v>
      </c>
      <c r="G412" t="n">
        <v>6</v>
      </c>
      <c r="H412" t="inlineStr">
        <is>
          <t>금형 교체</t>
        </is>
      </c>
      <c r="I412" t="n">
        <v>6</v>
      </c>
      <c r="J412" t="n">
        <v>4205</v>
      </c>
      <c r="K412" t="n">
        <v>4156</v>
      </c>
      <c r="L412" t="inlineStr">
        <is>
          <t>L-0701</t>
        </is>
      </c>
      <c r="M412">
        <f>F412-G412</f>
        <v/>
      </c>
      <c r="N412" s="2">
        <f>M412/F412</f>
        <v/>
      </c>
      <c r="O412" s="2">
        <f>I412*J412/60/M412</f>
        <v/>
      </c>
      <c r="P412" s="2">
        <f>K412/J412</f>
        <v/>
      </c>
      <c r="Q412" s="2">
        <f>N412*O412*P412</f>
        <v/>
      </c>
    </row>
    <row r="413">
      <c r="A413" t="inlineStr">
        <is>
          <t>2026-07-18</t>
        </is>
      </c>
      <c r="B413" t="inlineStr">
        <is>
          <t>주간</t>
        </is>
      </c>
      <c r="C413" t="inlineStr">
        <is>
          <t>P2</t>
        </is>
      </c>
      <c r="D413" t="inlineStr">
        <is>
          <t>성형</t>
        </is>
      </c>
      <c r="E413" t="inlineStr">
        <is>
          <t>PR-02</t>
        </is>
      </c>
      <c r="F413" t="n">
        <v>480</v>
      </c>
      <c r="G413" t="n">
        <v>18</v>
      </c>
      <c r="H413" t="inlineStr">
        <is>
          <t>압력 이상</t>
        </is>
      </c>
      <c r="I413" t="n">
        <v>6</v>
      </c>
      <c r="J413" t="n">
        <v>4428</v>
      </c>
      <c r="K413" t="n">
        <v>4388</v>
      </c>
      <c r="L413" t="inlineStr">
        <is>
          <t>L-0701</t>
        </is>
      </c>
      <c r="M413">
        <f>F413-G413</f>
        <v/>
      </c>
      <c r="N413" s="2">
        <f>M413/F413</f>
        <v/>
      </c>
      <c r="O413" s="2">
        <f>I413*J413/60/M413</f>
        <v/>
      </c>
      <c r="P413" s="2">
        <f>K413/J413</f>
        <v/>
      </c>
      <c r="Q413" s="2">
        <f>N413*O413*P413</f>
        <v/>
      </c>
    </row>
    <row r="414">
      <c r="A414" t="inlineStr">
        <is>
          <t>2026-07-18</t>
        </is>
      </c>
      <c r="B414" t="inlineStr">
        <is>
          <t>주간</t>
        </is>
      </c>
      <c r="C414" t="inlineStr">
        <is>
          <t>P3</t>
        </is>
      </c>
      <c r="D414" t="inlineStr">
        <is>
          <t>소결</t>
        </is>
      </c>
      <c r="E414" t="inlineStr">
        <is>
          <t>SF-01</t>
        </is>
      </c>
      <c r="F414" t="n">
        <v>480</v>
      </c>
      <c r="G414" t="n">
        <v>57</v>
      </c>
      <c r="H414" t="inlineStr">
        <is>
          <t>장입 대기</t>
        </is>
      </c>
      <c r="I414" t="n">
        <v>6.5</v>
      </c>
      <c r="J414" t="n">
        <v>3498</v>
      </c>
      <c r="K414" t="n">
        <v>3420</v>
      </c>
      <c r="L414" t="inlineStr">
        <is>
          <t>L-0701</t>
        </is>
      </c>
      <c r="M414">
        <f>F414-G414</f>
        <v/>
      </c>
      <c r="N414" s="2">
        <f>M414/F414</f>
        <v/>
      </c>
      <c r="O414" s="2">
        <f>I414*J414/60/M414</f>
        <v/>
      </c>
      <c r="P414" s="2">
        <f>K414/J414</f>
        <v/>
      </c>
      <c r="Q414" s="2">
        <f>N414*O414*P414</f>
        <v/>
      </c>
    </row>
    <row r="415">
      <c r="A415" t="inlineStr">
        <is>
          <t>2026-07-18</t>
        </is>
      </c>
      <c r="B415" t="inlineStr">
        <is>
          <t>주간</t>
        </is>
      </c>
      <c r="C415" t="inlineStr">
        <is>
          <t>P3</t>
        </is>
      </c>
      <c r="D415" t="inlineStr">
        <is>
          <t>소결</t>
        </is>
      </c>
      <c r="E415" t="inlineStr">
        <is>
          <t>SF-02</t>
        </is>
      </c>
      <c r="F415" t="n">
        <v>480</v>
      </c>
      <c r="G415" t="n">
        <v>38</v>
      </c>
      <c r="H415" t="inlineStr">
        <is>
          <t>장입 대기</t>
        </is>
      </c>
      <c r="I415" t="n">
        <v>6.5</v>
      </c>
      <c r="J415" t="n">
        <v>3890</v>
      </c>
      <c r="K415" t="n">
        <v>3775</v>
      </c>
      <c r="L415" t="inlineStr">
        <is>
          <t>L-0701</t>
        </is>
      </c>
      <c r="M415">
        <f>F415-G415</f>
        <v/>
      </c>
      <c r="N415" s="2">
        <f>M415/F415</f>
        <v/>
      </c>
      <c r="O415" s="2">
        <f>I415*J415/60/M415</f>
        <v/>
      </c>
      <c r="P415" s="2">
        <f>K415/J415</f>
        <v/>
      </c>
      <c r="Q415" s="2">
        <f>N415*O415*P415</f>
        <v/>
      </c>
    </row>
    <row r="416">
      <c r="A416" t="inlineStr">
        <is>
          <t>2026-07-18</t>
        </is>
      </c>
      <c r="B416" t="inlineStr">
        <is>
          <t>주간</t>
        </is>
      </c>
      <c r="C416" t="inlineStr">
        <is>
          <t>P4</t>
        </is>
      </c>
      <c r="D416" t="inlineStr">
        <is>
          <t>연삭</t>
        </is>
      </c>
      <c r="E416" t="inlineStr">
        <is>
          <t>GR-01</t>
        </is>
      </c>
      <c r="F416" t="n">
        <v>480</v>
      </c>
      <c r="G416" t="n">
        <v>43</v>
      </c>
      <c r="H416" t="inlineStr">
        <is>
          <t>드레싱</t>
        </is>
      </c>
      <c r="I416" t="n">
        <v>6.2</v>
      </c>
      <c r="J416" t="n">
        <v>3861</v>
      </c>
      <c r="K416" t="n">
        <v>3822</v>
      </c>
      <c r="L416" t="inlineStr">
        <is>
          <t>L-0701</t>
        </is>
      </c>
      <c r="M416">
        <f>F416-G416</f>
        <v/>
      </c>
      <c r="N416" s="2">
        <f>M416/F416</f>
        <v/>
      </c>
      <c r="O416" s="2">
        <f>I416*J416/60/M416</f>
        <v/>
      </c>
      <c r="P416" s="2">
        <f>K416/J416</f>
        <v/>
      </c>
      <c r="Q416" s="2">
        <f>N416*O416*P416</f>
        <v/>
      </c>
    </row>
    <row r="417">
      <c r="A417" t="inlineStr">
        <is>
          <t>2026-07-18</t>
        </is>
      </c>
      <c r="B417" t="inlineStr">
        <is>
          <t>주간</t>
        </is>
      </c>
      <c r="C417" t="inlineStr">
        <is>
          <t>P4</t>
        </is>
      </c>
      <c r="D417" t="inlineStr">
        <is>
          <t>연삭</t>
        </is>
      </c>
      <c r="E417" t="inlineStr">
        <is>
          <t>GR-02</t>
        </is>
      </c>
      <c r="F417" t="n">
        <v>480</v>
      </c>
      <c r="G417" t="n">
        <v>41</v>
      </c>
      <c r="H417" t="inlineStr">
        <is>
          <t>공구 교체</t>
        </is>
      </c>
      <c r="I417" t="n">
        <v>6.2</v>
      </c>
      <c r="J417" t="n">
        <v>3759</v>
      </c>
      <c r="K417" t="n">
        <v>3722</v>
      </c>
      <c r="L417" t="inlineStr">
        <is>
          <t>L-0701</t>
        </is>
      </c>
      <c r="M417">
        <f>F417-G417</f>
        <v/>
      </c>
      <c r="N417" s="2">
        <f>M417/F417</f>
        <v/>
      </c>
      <c r="O417" s="2">
        <f>I417*J417/60/M417</f>
        <v/>
      </c>
      <c r="P417" s="2">
        <f>K417/J417</f>
        <v/>
      </c>
      <c r="Q417" s="2">
        <f>N417*O417*P417</f>
        <v/>
      </c>
    </row>
    <row r="418">
      <c r="A418" t="inlineStr">
        <is>
          <t>2026-07-18</t>
        </is>
      </c>
      <c r="B418" t="inlineStr">
        <is>
          <t>주간</t>
        </is>
      </c>
      <c r="C418" t="inlineStr">
        <is>
          <t>P5</t>
        </is>
      </c>
      <c r="D418" t="inlineStr">
        <is>
          <t>검사</t>
        </is>
      </c>
      <c r="E418" t="inlineStr">
        <is>
          <t>IN-01</t>
        </is>
      </c>
      <c r="F418" t="n">
        <v>480</v>
      </c>
      <c r="G418" t="n">
        <v>18</v>
      </c>
      <c r="H418" t="inlineStr">
        <is>
          <t>샘플 재검</t>
        </is>
      </c>
      <c r="I418" t="n">
        <v>5.5</v>
      </c>
      <c r="J418" t="n">
        <v>4559</v>
      </c>
      <c r="K418" t="n">
        <v>4545</v>
      </c>
      <c r="L418" t="inlineStr">
        <is>
          <t>L-0701</t>
        </is>
      </c>
      <c r="M418">
        <f>F418-G418</f>
        <v/>
      </c>
      <c r="N418" s="2">
        <f>M418/F418</f>
        <v/>
      </c>
      <c r="O418" s="2">
        <f>I418*J418/60/M418</f>
        <v/>
      </c>
      <c r="P418" s="2">
        <f>K418/J418</f>
        <v/>
      </c>
      <c r="Q418" s="2">
        <f>N418*O418*P418</f>
        <v/>
      </c>
    </row>
    <row r="419">
      <c r="A419" t="inlineStr">
        <is>
          <t>2026-07-18</t>
        </is>
      </c>
      <c r="B419" t="inlineStr">
        <is>
          <t>주간</t>
        </is>
      </c>
      <c r="C419" t="inlineStr">
        <is>
          <t>P5</t>
        </is>
      </c>
      <c r="D419" t="inlineStr">
        <is>
          <t>검사</t>
        </is>
      </c>
      <c r="E419" t="inlineStr">
        <is>
          <t>IN-02</t>
        </is>
      </c>
      <c r="F419" t="n">
        <v>480</v>
      </c>
      <c r="G419" t="n">
        <v>23</v>
      </c>
      <c r="H419" t="inlineStr">
        <is>
          <t>샘플 재검</t>
        </is>
      </c>
      <c r="I419" t="n">
        <v>5.5</v>
      </c>
      <c r="J419" t="n">
        <v>4801</v>
      </c>
      <c r="K419" t="n">
        <v>4787</v>
      </c>
      <c r="L419" t="inlineStr">
        <is>
          <t>L-0701</t>
        </is>
      </c>
      <c r="M419">
        <f>F419-G419</f>
        <v/>
      </c>
      <c r="N419" s="2">
        <f>M419/F419</f>
        <v/>
      </c>
      <c r="O419" s="2">
        <f>I419*J419/60/M419</f>
        <v/>
      </c>
      <c r="P419" s="2">
        <f>K419/J419</f>
        <v/>
      </c>
      <c r="Q419" s="2">
        <f>N419*O419*P419</f>
        <v/>
      </c>
    </row>
    <row r="420">
      <c r="A420" t="inlineStr">
        <is>
          <t>2026-07-18</t>
        </is>
      </c>
      <c r="B420" t="inlineStr">
        <is>
          <t>주간</t>
        </is>
      </c>
      <c r="C420" t="inlineStr">
        <is>
          <t>P6</t>
        </is>
      </c>
      <c r="D420" t="inlineStr">
        <is>
          <t>포장</t>
        </is>
      </c>
      <c r="E420" t="inlineStr">
        <is>
          <t>PK-01</t>
        </is>
      </c>
      <c r="F420" t="n">
        <v>480</v>
      </c>
      <c r="G420" t="n">
        <v>17</v>
      </c>
      <c r="H420" t="inlineStr">
        <is>
          <t>자재 대기</t>
        </is>
      </c>
      <c r="I420" t="n">
        <v>4.8</v>
      </c>
      <c r="J420" t="n">
        <v>5634</v>
      </c>
      <c r="K420" t="n">
        <v>5622</v>
      </c>
      <c r="L420" t="inlineStr">
        <is>
          <t>L-0701</t>
        </is>
      </c>
      <c r="M420">
        <f>F420-G420</f>
        <v/>
      </c>
      <c r="N420" s="2">
        <f>M420/F420</f>
        <v/>
      </c>
      <c r="O420" s="2">
        <f>I420*J420/60/M420</f>
        <v/>
      </c>
      <c r="P420" s="2">
        <f>K420/J420</f>
        <v/>
      </c>
      <c r="Q420" s="2">
        <f>N420*O420*P420</f>
        <v/>
      </c>
    </row>
    <row r="421">
      <c r="A421" t="inlineStr">
        <is>
          <t>2026-07-18</t>
        </is>
      </c>
      <c r="B421" t="inlineStr">
        <is>
          <t>주간</t>
        </is>
      </c>
      <c r="C421" t="inlineStr">
        <is>
          <t>P6</t>
        </is>
      </c>
      <c r="D421" t="inlineStr">
        <is>
          <t>포장</t>
        </is>
      </c>
      <c r="E421" t="inlineStr">
        <is>
          <t>PK-02</t>
        </is>
      </c>
      <c r="F421" t="n">
        <v>480</v>
      </c>
      <c r="G421" t="n">
        <v>18</v>
      </c>
      <c r="H421" t="inlineStr">
        <is>
          <t>자재 대기</t>
        </is>
      </c>
      <c r="I421" t="n">
        <v>4.8</v>
      </c>
      <c r="J421" t="n">
        <v>5291</v>
      </c>
      <c r="K421" t="n">
        <v>5283</v>
      </c>
      <c r="L421" t="inlineStr">
        <is>
          <t>L-0701</t>
        </is>
      </c>
      <c r="M421">
        <f>F421-G421</f>
        <v/>
      </c>
      <c r="N421" s="2">
        <f>M421/F421</f>
        <v/>
      </c>
      <c r="O421" s="2">
        <f>I421*J421/60/M421</f>
        <v/>
      </c>
      <c r="P421" s="2">
        <f>K421/J421</f>
        <v/>
      </c>
      <c r="Q421" s="2">
        <f>N421*O421*P421</f>
        <v/>
      </c>
    </row>
    <row r="422">
      <c r="A422" t="inlineStr">
        <is>
          <t>2026-07-18</t>
        </is>
      </c>
      <c r="B422" t="inlineStr">
        <is>
          <t>야간</t>
        </is>
      </c>
      <c r="C422" t="inlineStr">
        <is>
          <t>P1</t>
        </is>
      </c>
      <c r="D422" t="inlineStr">
        <is>
          <t>원료혼합</t>
        </is>
      </c>
      <c r="E422" t="inlineStr">
        <is>
          <t>MX-01</t>
        </is>
      </c>
      <c r="F422" t="n">
        <v>480</v>
      </c>
      <c r="G422" t="n">
        <v>32</v>
      </c>
      <c r="H422" t="inlineStr">
        <is>
          <t>배합 확인</t>
        </is>
      </c>
      <c r="I422" t="n">
        <v>5</v>
      </c>
      <c r="J422" t="n">
        <v>4628</v>
      </c>
      <c r="K422" t="n">
        <v>4594</v>
      </c>
      <c r="L422" t="inlineStr">
        <is>
          <t>L-0701</t>
        </is>
      </c>
      <c r="M422">
        <f>F422-G422</f>
        <v/>
      </c>
      <c r="N422" s="2">
        <f>M422/F422</f>
        <v/>
      </c>
      <c r="O422" s="2">
        <f>I422*J422/60/M422</f>
        <v/>
      </c>
      <c r="P422" s="2">
        <f>K422/J422</f>
        <v/>
      </c>
      <c r="Q422" s="2">
        <f>N422*O422*P422</f>
        <v/>
      </c>
    </row>
    <row r="423">
      <c r="A423" t="inlineStr">
        <is>
          <t>2026-07-18</t>
        </is>
      </c>
      <c r="B423" t="inlineStr">
        <is>
          <t>야간</t>
        </is>
      </c>
      <c r="C423" t="inlineStr">
        <is>
          <t>P1</t>
        </is>
      </c>
      <c r="D423" t="inlineStr">
        <is>
          <t>원료혼합</t>
        </is>
      </c>
      <c r="E423" t="inlineStr">
        <is>
          <t>MX-02</t>
        </is>
      </c>
      <c r="F423" t="n">
        <v>480</v>
      </c>
      <c r="G423" t="n">
        <v>28</v>
      </c>
      <c r="H423" t="inlineStr">
        <is>
          <t>원료 대기</t>
        </is>
      </c>
      <c r="I423" t="n">
        <v>5</v>
      </c>
      <c r="J423" t="n">
        <v>5122</v>
      </c>
      <c r="K423" t="n">
        <v>5074</v>
      </c>
      <c r="L423" t="inlineStr">
        <is>
          <t>L-0701</t>
        </is>
      </c>
      <c r="M423">
        <f>F423-G423</f>
        <v/>
      </c>
      <c r="N423" s="2">
        <f>M423/F423</f>
        <v/>
      </c>
      <c r="O423" s="2">
        <f>I423*J423/60/M423</f>
        <v/>
      </c>
      <c r="P423" s="2">
        <f>K423/J423</f>
        <v/>
      </c>
      <c r="Q423" s="2">
        <f>N423*O423*P423</f>
        <v/>
      </c>
    </row>
    <row r="424">
      <c r="A424" t="inlineStr">
        <is>
          <t>2026-07-18</t>
        </is>
      </c>
      <c r="B424" t="inlineStr">
        <is>
          <t>야간</t>
        </is>
      </c>
      <c r="C424" t="inlineStr">
        <is>
          <t>P2</t>
        </is>
      </c>
      <c r="D424" t="inlineStr">
        <is>
          <t>성형</t>
        </is>
      </c>
      <c r="E424" t="inlineStr">
        <is>
          <t>PR-01</t>
        </is>
      </c>
      <c r="F424" t="n">
        <v>480</v>
      </c>
      <c r="G424" t="n">
        <v>58</v>
      </c>
      <c r="H424" t="inlineStr">
        <is>
          <t>분말 공급 지연</t>
        </is>
      </c>
      <c r="I424" t="n">
        <v>6</v>
      </c>
      <c r="J424" t="n">
        <v>3801</v>
      </c>
      <c r="K424" t="n">
        <v>3761</v>
      </c>
      <c r="L424" t="inlineStr">
        <is>
          <t>L-0701</t>
        </is>
      </c>
      <c r="M424">
        <f>F424-G424</f>
        <v/>
      </c>
      <c r="N424" s="2">
        <f>M424/F424</f>
        <v/>
      </c>
      <c r="O424" s="2">
        <f>I424*J424/60/M424</f>
        <v/>
      </c>
      <c r="P424" s="2">
        <f>K424/J424</f>
        <v/>
      </c>
      <c r="Q424" s="2">
        <f>N424*O424*P424</f>
        <v/>
      </c>
    </row>
    <row r="425">
      <c r="A425" t="inlineStr">
        <is>
          <t>2026-07-18</t>
        </is>
      </c>
      <c r="B425" t="inlineStr">
        <is>
          <t>야간</t>
        </is>
      </c>
      <c r="C425" t="inlineStr">
        <is>
          <t>P2</t>
        </is>
      </c>
      <c r="D425" t="inlineStr">
        <is>
          <t>성형</t>
        </is>
      </c>
      <c r="E425" t="inlineStr">
        <is>
          <t>PR-02</t>
        </is>
      </c>
      <c r="F425" t="n">
        <v>480</v>
      </c>
      <c r="G425" t="n">
        <v>29</v>
      </c>
      <c r="H425" t="inlineStr">
        <is>
          <t>압력 이상</t>
        </is>
      </c>
      <c r="I425" t="n">
        <v>6</v>
      </c>
      <c r="J425" t="n">
        <v>4031</v>
      </c>
      <c r="K425" t="n">
        <v>4002</v>
      </c>
      <c r="L425" t="inlineStr">
        <is>
          <t>L-0701</t>
        </is>
      </c>
      <c r="M425">
        <f>F425-G425</f>
        <v/>
      </c>
      <c r="N425" s="2">
        <f>M425/F425</f>
        <v/>
      </c>
      <c r="O425" s="2">
        <f>I425*J425/60/M425</f>
        <v/>
      </c>
      <c r="P425" s="2">
        <f>K425/J425</f>
        <v/>
      </c>
      <c r="Q425" s="2">
        <f>N425*O425*P425</f>
        <v/>
      </c>
    </row>
    <row r="426">
      <c r="A426" t="inlineStr">
        <is>
          <t>2026-07-18</t>
        </is>
      </c>
      <c r="B426" t="inlineStr">
        <is>
          <t>야간</t>
        </is>
      </c>
      <c r="C426" t="inlineStr">
        <is>
          <t>P3</t>
        </is>
      </c>
      <c r="D426" t="inlineStr">
        <is>
          <t>소결</t>
        </is>
      </c>
      <c r="E426" t="inlineStr">
        <is>
          <t>SF-01</t>
        </is>
      </c>
      <c r="F426" t="n">
        <v>480</v>
      </c>
      <c r="G426" t="n">
        <v>26</v>
      </c>
      <c r="H426" t="inlineStr">
        <is>
          <t>재가열</t>
        </is>
      </c>
      <c r="I426" t="n">
        <v>6.5</v>
      </c>
      <c r="J426" t="n">
        <v>4036</v>
      </c>
      <c r="K426" t="n">
        <v>3918</v>
      </c>
      <c r="L426" t="inlineStr">
        <is>
          <t>L-0701</t>
        </is>
      </c>
      <c r="M426">
        <f>F426-G426</f>
        <v/>
      </c>
      <c r="N426" s="2">
        <f>M426/F426</f>
        <v/>
      </c>
      <c r="O426" s="2">
        <f>I426*J426/60/M426</f>
        <v/>
      </c>
      <c r="P426" s="2">
        <f>K426/J426</f>
        <v/>
      </c>
      <c r="Q426" s="2">
        <f>N426*O426*P426</f>
        <v/>
      </c>
    </row>
    <row r="427">
      <c r="A427" t="inlineStr">
        <is>
          <t>2026-07-18</t>
        </is>
      </c>
      <c r="B427" t="inlineStr">
        <is>
          <t>야간</t>
        </is>
      </c>
      <c r="C427" t="inlineStr">
        <is>
          <t>P3</t>
        </is>
      </c>
      <c r="D427" t="inlineStr">
        <is>
          <t>소결</t>
        </is>
      </c>
      <c r="E427" t="inlineStr">
        <is>
          <t>SF-02</t>
        </is>
      </c>
      <c r="F427" t="n">
        <v>480</v>
      </c>
      <c r="G427" t="n">
        <v>67</v>
      </c>
      <c r="H427" t="inlineStr">
        <is>
          <t>장입 대기</t>
        </is>
      </c>
      <c r="I427" t="n">
        <v>6.5</v>
      </c>
      <c r="J427" t="n">
        <v>3329</v>
      </c>
      <c r="K427" t="n">
        <v>3234</v>
      </c>
      <c r="L427" t="inlineStr">
        <is>
          <t>L-0701</t>
        </is>
      </c>
      <c r="M427">
        <f>F427-G427</f>
        <v/>
      </c>
      <c r="N427" s="2">
        <f>M427/F427</f>
        <v/>
      </c>
      <c r="O427" s="2">
        <f>I427*J427/60/M427</f>
        <v/>
      </c>
      <c r="P427" s="2">
        <f>K427/J427</f>
        <v/>
      </c>
      <c r="Q427" s="2">
        <f>N427*O427*P427</f>
        <v/>
      </c>
    </row>
    <row r="428">
      <c r="A428" t="inlineStr">
        <is>
          <t>2026-07-18</t>
        </is>
      </c>
      <c r="B428" t="inlineStr">
        <is>
          <t>야간</t>
        </is>
      </c>
      <c r="C428" t="inlineStr">
        <is>
          <t>P4</t>
        </is>
      </c>
      <c r="D428" t="inlineStr">
        <is>
          <t>연삭</t>
        </is>
      </c>
      <c r="E428" t="inlineStr">
        <is>
          <t>GR-01</t>
        </is>
      </c>
      <c r="F428" t="n">
        <v>480</v>
      </c>
      <c r="G428" t="n">
        <v>69</v>
      </c>
      <c r="H428" t="inlineStr">
        <is>
          <t>공구 교체</t>
        </is>
      </c>
      <c r="I428" t="n">
        <v>6.2</v>
      </c>
      <c r="J428" t="n">
        <v>3582</v>
      </c>
      <c r="K428" t="n">
        <v>3542</v>
      </c>
      <c r="L428" t="inlineStr">
        <is>
          <t>L-0701</t>
        </is>
      </c>
      <c r="M428">
        <f>F428-G428</f>
        <v/>
      </c>
      <c r="N428" s="2">
        <f>M428/F428</f>
        <v/>
      </c>
      <c r="O428" s="2">
        <f>I428*J428/60/M428</f>
        <v/>
      </c>
      <c r="P428" s="2">
        <f>K428/J428</f>
        <v/>
      </c>
      <c r="Q428" s="2">
        <f>N428*O428*P428</f>
        <v/>
      </c>
    </row>
    <row r="429">
      <c r="A429" t="inlineStr">
        <is>
          <t>2026-07-18</t>
        </is>
      </c>
      <c r="B429" t="inlineStr">
        <is>
          <t>야간</t>
        </is>
      </c>
      <c r="C429" t="inlineStr">
        <is>
          <t>P4</t>
        </is>
      </c>
      <c r="D429" t="inlineStr">
        <is>
          <t>연삭</t>
        </is>
      </c>
      <c r="E429" t="inlineStr">
        <is>
          <t>GR-02</t>
        </is>
      </c>
      <c r="F429" t="n">
        <v>480</v>
      </c>
      <c r="G429" t="n">
        <v>71</v>
      </c>
      <c r="H429" t="inlineStr">
        <is>
          <t>공구 교체</t>
        </is>
      </c>
      <c r="I429" t="n">
        <v>6.2</v>
      </c>
      <c r="J429" t="n">
        <v>3776</v>
      </c>
      <c r="K429" t="n">
        <v>3735</v>
      </c>
      <c r="L429" t="inlineStr">
        <is>
          <t>L-0701</t>
        </is>
      </c>
      <c r="M429">
        <f>F429-G429</f>
        <v/>
      </c>
      <c r="N429" s="2">
        <f>M429/F429</f>
        <v/>
      </c>
      <c r="O429" s="2">
        <f>I429*J429/60/M429</f>
        <v/>
      </c>
      <c r="P429" s="2">
        <f>K429/J429</f>
        <v/>
      </c>
      <c r="Q429" s="2">
        <f>N429*O429*P429</f>
        <v/>
      </c>
    </row>
    <row r="430">
      <c r="A430" t="inlineStr">
        <is>
          <t>2026-07-18</t>
        </is>
      </c>
      <c r="B430" t="inlineStr">
        <is>
          <t>야간</t>
        </is>
      </c>
      <c r="C430" t="inlineStr">
        <is>
          <t>P5</t>
        </is>
      </c>
      <c r="D430" t="inlineStr">
        <is>
          <t>검사</t>
        </is>
      </c>
      <c r="E430" t="inlineStr">
        <is>
          <t>IN-01</t>
        </is>
      </c>
      <c r="F430" t="n">
        <v>480</v>
      </c>
      <c r="G430" t="n">
        <v>24</v>
      </c>
      <c r="H430" t="inlineStr">
        <is>
          <t>측정기 교정</t>
        </is>
      </c>
      <c r="I430" t="n">
        <v>5.5</v>
      </c>
      <c r="J430" t="n">
        <v>4421</v>
      </c>
      <c r="K430" t="n">
        <v>4402</v>
      </c>
      <c r="L430" t="inlineStr">
        <is>
          <t>L-0701</t>
        </is>
      </c>
      <c r="M430">
        <f>F430-G430</f>
        <v/>
      </c>
      <c r="N430" s="2">
        <f>M430/F430</f>
        <v/>
      </c>
      <c r="O430" s="2">
        <f>I430*J430/60/M430</f>
        <v/>
      </c>
      <c r="P430" s="2">
        <f>K430/J430</f>
        <v/>
      </c>
      <c r="Q430" s="2">
        <f>N430*O430*P430</f>
        <v/>
      </c>
    </row>
    <row r="431">
      <c r="A431" t="inlineStr">
        <is>
          <t>2026-07-18</t>
        </is>
      </c>
      <c r="B431" t="inlineStr">
        <is>
          <t>야간</t>
        </is>
      </c>
      <c r="C431" t="inlineStr">
        <is>
          <t>P5</t>
        </is>
      </c>
      <c r="D431" t="inlineStr">
        <is>
          <t>검사</t>
        </is>
      </c>
      <c r="E431" t="inlineStr">
        <is>
          <t>IN-02</t>
        </is>
      </c>
      <c r="F431" t="n">
        <v>480</v>
      </c>
      <c r="G431" t="n">
        <v>22</v>
      </c>
      <c r="H431" t="inlineStr">
        <is>
          <t>측정기 교정</t>
        </is>
      </c>
      <c r="I431" t="n">
        <v>5.5</v>
      </c>
      <c r="J431" t="n">
        <v>4583</v>
      </c>
      <c r="K431" t="n">
        <v>4565</v>
      </c>
      <c r="L431" t="inlineStr">
        <is>
          <t>L-0701</t>
        </is>
      </c>
      <c r="M431">
        <f>F431-G431</f>
        <v/>
      </c>
      <c r="N431" s="2">
        <f>M431/F431</f>
        <v/>
      </c>
      <c r="O431" s="2">
        <f>I431*J431/60/M431</f>
        <v/>
      </c>
      <c r="P431" s="2">
        <f>K431/J431</f>
        <v/>
      </c>
      <c r="Q431" s="2">
        <f>N431*O431*P431</f>
        <v/>
      </c>
    </row>
    <row r="432">
      <c r="A432" t="inlineStr">
        <is>
          <t>2026-07-18</t>
        </is>
      </c>
      <c r="B432" t="inlineStr">
        <is>
          <t>야간</t>
        </is>
      </c>
      <c r="C432" t="inlineStr">
        <is>
          <t>P6</t>
        </is>
      </c>
      <c r="D432" t="inlineStr">
        <is>
          <t>포장</t>
        </is>
      </c>
      <c r="E432" t="inlineStr">
        <is>
          <t>PK-01</t>
        </is>
      </c>
      <c r="F432" t="n">
        <v>480</v>
      </c>
      <c r="G432" t="n">
        <v>21</v>
      </c>
      <c r="H432" t="inlineStr">
        <is>
          <t>라벨 교체</t>
        </is>
      </c>
      <c r="I432" t="n">
        <v>4.8</v>
      </c>
      <c r="J432" t="n">
        <v>5068</v>
      </c>
      <c r="K432" t="n">
        <v>5051</v>
      </c>
      <c r="L432" t="inlineStr">
        <is>
          <t>L-0701</t>
        </is>
      </c>
      <c r="M432">
        <f>F432-G432</f>
        <v/>
      </c>
      <c r="N432" s="2">
        <f>M432/F432</f>
        <v/>
      </c>
      <c r="O432" s="2">
        <f>I432*J432/60/M432</f>
        <v/>
      </c>
      <c r="P432" s="2">
        <f>K432/J432</f>
        <v/>
      </c>
      <c r="Q432" s="2">
        <f>N432*O432*P432</f>
        <v/>
      </c>
    </row>
    <row r="433">
      <c r="A433" t="inlineStr">
        <is>
          <t>2026-07-18</t>
        </is>
      </c>
      <c r="B433" t="inlineStr">
        <is>
          <t>야간</t>
        </is>
      </c>
      <c r="C433" t="inlineStr">
        <is>
          <t>P6</t>
        </is>
      </c>
      <c r="D433" t="inlineStr">
        <is>
          <t>포장</t>
        </is>
      </c>
      <c r="E433" t="inlineStr">
        <is>
          <t>PK-02</t>
        </is>
      </c>
      <c r="F433" t="n">
        <v>480</v>
      </c>
      <c r="G433" t="n">
        <v>16</v>
      </c>
      <c r="H433" t="inlineStr">
        <is>
          <t>라벨 교체</t>
        </is>
      </c>
      <c r="I433" t="n">
        <v>4.8</v>
      </c>
      <c r="J433" t="n">
        <v>5446</v>
      </c>
      <c r="K433" t="n">
        <v>5434</v>
      </c>
      <c r="L433" t="inlineStr">
        <is>
          <t>L-0701</t>
        </is>
      </c>
      <c r="M433">
        <f>F433-G433</f>
        <v/>
      </c>
      <c r="N433" s="2">
        <f>M433/F433</f>
        <v/>
      </c>
      <c r="O433" s="2">
        <f>I433*J433/60/M433</f>
        <v/>
      </c>
      <c r="P433" s="2">
        <f>K433/J433</f>
        <v/>
      </c>
      <c r="Q433" s="2">
        <f>N433*O433*P433</f>
        <v/>
      </c>
    </row>
    <row r="434">
      <c r="A434" t="inlineStr">
        <is>
          <t>2026-07-19</t>
        </is>
      </c>
      <c r="B434" t="inlineStr">
        <is>
          <t>주간</t>
        </is>
      </c>
      <c r="C434" t="inlineStr">
        <is>
          <t>P1</t>
        </is>
      </c>
      <c r="D434" t="inlineStr">
        <is>
          <t>원료혼합</t>
        </is>
      </c>
      <c r="E434" t="inlineStr">
        <is>
          <t>MX-01</t>
        </is>
      </c>
      <c r="F434" t="n">
        <v>480</v>
      </c>
      <c r="G434" t="n">
        <v>13</v>
      </c>
      <c r="H434" t="inlineStr">
        <is>
          <t>원료 대기</t>
        </is>
      </c>
      <c r="I434" t="n">
        <v>5</v>
      </c>
      <c r="J434" t="n">
        <v>5373</v>
      </c>
      <c r="K434" t="n">
        <v>5344</v>
      </c>
      <c r="L434" t="inlineStr">
        <is>
          <t>L-0701</t>
        </is>
      </c>
      <c r="M434">
        <f>F434-G434</f>
        <v/>
      </c>
      <c r="N434" s="2">
        <f>M434/F434</f>
        <v/>
      </c>
      <c r="O434" s="2">
        <f>I434*J434/60/M434</f>
        <v/>
      </c>
      <c r="P434" s="2">
        <f>K434/J434</f>
        <v/>
      </c>
      <c r="Q434" s="2">
        <f>N434*O434*P434</f>
        <v/>
      </c>
    </row>
    <row r="435">
      <c r="A435" t="inlineStr">
        <is>
          <t>2026-07-19</t>
        </is>
      </c>
      <c r="B435" t="inlineStr">
        <is>
          <t>주간</t>
        </is>
      </c>
      <c r="C435" t="inlineStr">
        <is>
          <t>P1</t>
        </is>
      </c>
      <c r="D435" t="inlineStr">
        <is>
          <t>원료혼합</t>
        </is>
      </c>
      <c r="E435" t="inlineStr">
        <is>
          <t>MX-02</t>
        </is>
      </c>
      <c r="F435" t="n">
        <v>480</v>
      </c>
      <c r="G435" t="n">
        <v>17</v>
      </c>
      <c r="H435" t="inlineStr">
        <is>
          <t>원료 대기</t>
        </is>
      </c>
      <c r="I435" t="n">
        <v>5</v>
      </c>
      <c r="J435" t="n">
        <v>5288</v>
      </c>
      <c r="K435" t="n">
        <v>5255</v>
      </c>
      <c r="L435" t="inlineStr">
        <is>
          <t>L-0701</t>
        </is>
      </c>
      <c r="M435">
        <f>F435-G435</f>
        <v/>
      </c>
      <c r="N435" s="2">
        <f>M435/F435</f>
        <v/>
      </c>
      <c r="O435" s="2">
        <f>I435*J435/60/M435</f>
        <v/>
      </c>
      <c r="P435" s="2">
        <f>K435/J435</f>
        <v/>
      </c>
      <c r="Q435" s="2">
        <f>N435*O435*P435</f>
        <v/>
      </c>
    </row>
    <row r="436">
      <c r="A436" t="inlineStr">
        <is>
          <t>2026-07-19</t>
        </is>
      </c>
      <c r="B436" t="inlineStr">
        <is>
          <t>주간</t>
        </is>
      </c>
      <c r="C436" t="inlineStr">
        <is>
          <t>P2</t>
        </is>
      </c>
      <c r="D436" t="inlineStr">
        <is>
          <t>성형</t>
        </is>
      </c>
      <c r="E436" t="inlineStr">
        <is>
          <t>PR-01</t>
        </is>
      </c>
      <c r="F436" t="n">
        <v>480</v>
      </c>
      <c r="G436" t="n">
        <v>20</v>
      </c>
      <c r="H436" t="inlineStr">
        <is>
          <t>압력 이상</t>
        </is>
      </c>
      <c r="I436" t="n">
        <v>6</v>
      </c>
      <c r="J436" t="n">
        <v>4301</v>
      </c>
      <c r="K436" t="n">
        <v>4266</v>
      </c>
      <c r="L436" t="inlineStr">
        <is>
          <t>L-0701</t>
        </is>
      </c>
      <c r="M436">
        <f>F436-G436</f>
        <v/>
      </c>
      <c r="N436" s="2">
        <f>M436/F436</f>
        <v/>
      </c>
      <c r="O436" s="2">
        <f>I436*J436/60/M436</f>
        <v/>
      </c>
      <c r="P436" s="2">
        <f>K436/J436</f>
        <v/>
      </c>
      <c r="Q436" s="2">
        <f>N436*O436*P436</f>
        <v/>
      </c>
    </row>
    <row r="437">
      <c r="A437" t="inlineStr">
        <is>
          <t>2026-07-19</t>
        </is>
      </c>
      <c r="B437" t="inlineStr">
        <is>
          <t>주간</t>
        </is>
      </c>
      <c r="C437" t="inlineStr">
        <is>
          <t>P2</t>
        </is>
      </c>
      <c r="D437" t="inlineStr">
        <is>
          <t>성형</t>
        </is>
      </c>
      <c r="E437" t="inlineStr">
        <is>
          <t>PR-02</t>
        </is>
      </c>
      <c r="F437" t="n">
        <v>480</v>
      </c>
      <c r="G437" t="n">
        <v>41</v>
      </c>
      <c r="H437" t="inlineStr">
        <is>
          <t>금형 교체</t>
        </is>
      </c>
      <c r="I437" t="n">
        <v>6</v>
      </c>
      <c r="J437" t="n">
        <v>3975</v>
      </c>
      <c r="K437" t="n">
        <v>3941</v>
      </c>
      <c r="L437" t="inlineStr">
        <is>
          <t>L-0701</t>
        </is>
      </c>
      <c r="M437">
        <f>F437-G437</f>
        <v/>
      </c>
      <c r="N437" s="2">
        <f>M437/F437</f>
        <v/>
      </c>
      <c r="O437" s="2">
        <f>I437*J437/60/M437</f>
        <v/>
      </c>
      <c r="P437" s="2">
        <f>K437/J437</f>
        <v/>
      </c>
      <c r="Q437" s="2">
        <f>N437*O437*P437</f>
        <v/>
      </c>
    </row>
    <row r="438">
      <c r="A438" t="inlineStr">
        <is>
          <t>2026-07-19</t>
        </is>
      </c>
      <c r="B438" t="inlineStr">
        <is>
          <t>주간</t>
        </is>
      </c>
      <c r="C438" t="inlineStr">
        <is>
          <t>P3</t>
        </is>
      </c>
      <c r="D438" t="inlineStr">
        <is>
          <t>소결</t>
        </is>
      </c>
      <c r="E438" t="inlineStr">
        <is>
          <t>SF-01</t>
        </is>
      </c>
      <c r="F438" t="n">
        <v>480</v>
      </c>
      <c r="G438" t="n">
        <v>32</v>
      </c>
      <c r="H438" t="inlineStr">
        <is>
          <t>온도 이상 정지</t>
        </is>
      </c>
      <c r="I438" t="n">
        <v>6.5</v>
      </c>
      <c r="J438" t="n">
        <v>3816</v>
      </c>
      <c r="K438" t="n">
        <v>3770</v>
      </c>
      <c r="L438" t="inlineStr">
        <is>
          <t>L-0701</t>
        </is>
      </c>
      <c r="M438">
        <f>F438-G438</f>
        <v/>
      </c>
      <c r="N438" s="2">
        <f>M438/F438</f>
        <v/>
      </c>
      <c r="O438" s="2">
        <f>I438*J438/60/M438</f>
        <v/>
      </c>
      <c r="P438" s="2">
        <f>K438/J438</f>
        <v/>
      </c>
      <c r="Q438" s="2">
        <f>N438*O438*P438</f>
        <v/>
      </c>
    </row>
    <row r="439">
      <c r="A439" t="inlineStr">
        <is>
          <t>2026-07-19</t>
        </is>
      </c>
      <c r="B439" t="inlineStr">
        <is>
          <t>주간</t>
        </is>
      </c>
      <c r="C439" t="inlineStr">
        <is>
          <t>P3</t>
        </is>
      </c>
      <c r="D439" t="inlineStr">
        <is>
          <t>소결</t>
        </is>
      </c>
      <c r="E439" t="inlineStr">
        <is>
          <t>SF-02</t>
        </is>
      </c>
      <c r="F439" t="n">
        <v>480</v>
      </c>
      <c r="G439" t="n">
        <v>36</v>
      </c>
      <c r="H439" t="inlineStr">
        <is>
          <t>장입 대기</t>
        </is>
      </c>
      <c r="I439" t="n">
        <v>6.5</v>
      </c>
      <c r="J439" t="n">
        <v>3858</v>
      </c>
      <c r="K439" t="n">
        <v>3780</v>
      </c>
      <c r="L439" t="inlineStr">
        <is>
          <t>L-0701</t>
        </is>
      </c>
      <c r="M439">
        <f>F439-G439</f>
        <v/>
      </c>
      <c r="N439" s="2">
        <f>M439/F439</f>
        <v/>
      </c>
      <c r="O439" s="2">
        <f>I439*J439/60/M439</f>
        <v/>
      </c>
      <c r="P439" s="2">
        <f>K439/J439</f>
        <v/>
      </c>
      <c r="Q439" s="2">
        <f>N439*O439*P439</f>
        <v/>
      </c>
    </row>
    <row r="440">
      <c r="A440" t="inlineStr">
        <is>
          <t>2026-07-19</t>
        </is>
      </c>
      <c r="B440" t="inlineStr">
        <is>
          <t>주간</t>
        </is>
      </c>
      <c r="C440" t="inlineStr">
        <is>
          <t>P4</t>
        </is>
      </c>
      <c r="D440" t="inlineStr">
        <is>
          <t>연삭</t>
        </is>
      </c>
      <c r="E440" t="inlineStr">
        <is>
          <t>GR-01</t>
        </is>
      </c>
      <c r="F440" t="n">
        <v>480</v>
      </c>
      <c r="G440" t="n">
        <v>62</v>
      </c>
      <c r="H440" t="inlineStr">
        <is>
          <t>공구 교체</t>
        </is>
      </c>
      <c r="I440" t="n">
        <v>6.2</v>
      </c>
      <c r="J440" t="n">
        <v>3805</v>
      </c>
      <c r="K440" t="n">
        <v>3773</v>
      </c>
      <c r="L440" t="inlineStr">
        <is>
          <t>L-0701</t>
        </is>
      </c>
      <c r="M440">
        <f>F440-G440</f>
        <v/>
      </c>
      <c r="N440" s="2">
        <f>M440/F440</f>
        <v/>
      </c>
      <c r="O440" s="2">
        <f>I440*J440/60/M440</f>
        <v/>
      </c>
      <c r="P440" s="2">
        <f>K440/J440</f>
        <v/>
      </c>
      <c r="Q440" s="2">
        <f>N440*O440*P440</f>
        <v/>
      </c>
    </row>
    <row r="441">
      <c r="A441" t="inlineStr">
        <is>
          <t>2026-07-19</t>
        </is>
      </c>
      <c r="B441" t="inlineStr">
        <is>
          <t>주간</t>
        </is>
      </c>
      <c r="C441" t="inlineStr">
        <is>
          <t>P4</t>
        </is>
      </c>
      <c r="D441" t="inlineStr">
        <is>
          <t>연삭</t>
        </is>
      </c>
      <c r="E441" t="inlineStr">
        <is>
          <t>GR-02</t>
        </is>
      </c>
      <c r="F441" t="n">
        <v>480</v>
      </c>
      <c r="G441" t="n">
        <v>71</v>
      </c>
      <c r="H441" t="inlineStr">
        <is>
          <t>공구 교체</t>
        </is>
      </c>
      <c r="I441" t="n">
        <v>6.2</v>
      </c>
      <c r="J441" t="n">
        <v>3506</v>
      </c>
      <c r="K441" t="n">
        <v>3468</v>
      </c>
      <c r="L441" t="inlineStr">
        <is>
          <t>L-0701</t>
        </is>
      </c>
      <c r="M441">
        <f>F441-G441</f>
        <v/>
      </c>
      <c r="N441" s="2">
        <f>M441/F441</f>
        <v/>
      </c>
      <c r="O441" s="2">
        <f>I441*J441/60/M441</f>
        <v/>
      </c>
      <c r="P441" s="2">
        <f>K441/J441</f>
        <v/>
      </c>
      <c r="Q441" s="2">
        <f>N441*O441*P441</f>
        <v/>
      </c>
    </row>
    <row r="442">
      <c r="A442" t="inlineStr">
        <is>
          <t>2026-07-19</t>
        </is>
      </c>
      <c r="B442" t="inlineStr">
        <is>
          <t>주간</t>
        </is>
      </c>
      <c r="C442" t="inlineStr">
        <is>
          <t>P5</t>
        </is>
      </c>
      <c r="D442" t="inlineStr">
        <is>
          <t>검사</t>
        </is>
      </c>
      <c r="E442" t="inlineStr">
        <is>
          <t>IN-01</t>
        </is>
      </c>
      <c r="F442" t="n">
        <v>480</v>
      </c>
      <c r="G442" t="n">
        <v>12</v>
      </c>
      <c r="H442" t="inlineStr">
        <is>
          <t>샘플 재검</t>
        </is>
      </c>
      <c r="I442" t="n">
        <v>5.5</v>
      </c>
      <c r="J442" t="n">
        <v>4595</v>
      </c>
      <c r="K442" t="n">
        <v>4578</v>
      </c>
      <c r="L442" t="inlineStr">
        <is>
          <t>L-0701</t>
        </is>
      </c>
      <c r="M442">
        <f>F442-G442</f>
        <v/>
      </c>
      <c r="N442" s="2">
        <f>M442/F442</f>
        <v/>
      </c>
      <c r="O442" s="2">
        <f>I442*J442/60/M442</f>
        <v/>
      </c>
      <c r="P442" s="2">
        <f>K442/J442</f>
        <v/>
      </c>
      <c r="Q442" s="2">
        <f>N442*O442*P442</f>
        <v/>
      </c>
    </row>
    <row r="443">
      <c r="A443" t="inlineStr">
        <is>
          <t>2026-07-19</t>
        </is>
      </c>
      <c r="B443" t="inlineStr">
        <is>
          <t>주간</t>
        </is>
      </c>
      <c r="C443" t="inlineStr">
        <is>
          <t>P5</t>
        </is>
      </c>
      <c r="D443" t="inlineStr">
        <is>
          <t>검사</t>
        </is>
      </c>
      <c r="E443" t="inlineStr">
        <is>
          <t>IN-02</t>
        </is>
      </c>
      <c r="F443" t="n">
        <v>480</v>
      </c>
      <c r="G443" t="n">
        <v>34</v>
      </c>
      <c r="H443" t="inlineStr">
        <is>
          <t>샘플 재검</t>
        </is>
      </c>
      <c r="I443" t="n">
        <v>5.5</v>
      </c>
      <c r="J443" t="n">
        <v>4448</v>
      </c>
      <c r="K443" t="n">
        <v>4436</v>
      </c>
      <c r="L443" t="inlineStr">
        <is>
          <t>L-0701</t>
        </is>
      </c>
      <c r="M443">
        <f>F443-G443</f>
        <v/>
      </c>
      <c r="N443" s="2">
        <f>M443/F443</f>
        <v/>
      </c>
      <c r="O443" s="2">
        <f>I443*J443/60/M443</f>
        <v/>
      </c>
      <c r="P443" s="2">
        <f>K443/J443</f>
        <v/>
      </c>
      <c r="Q443" s="2">
        <f>N443*O443*P443</f>
        <v/>
      </c>
    </row>
    <row r="444">
      <c r="A444" t="inlineStr">
        <is>
          <t>2026-07-19</t>
        </is>
      </c>
      <c r="B444" t="inlineStr">
        <is>
          <t>주간</t>
        </is>
      </c>
      <c r="C444" t="inlineStr">
        <is>
          <t>P6</t>
        </is>
      </c>
      <c r="D444" t="inlineStr">
        <is>
          <t>포장</t>
        </is>
      </c>
      <c r="E444" t="inlineStr">
        <is>
          <t>PK-01</t>
        </is>
      </c>
      <c r="F444" t="n">
        <v>480</v>
      </c>
      <c r="G444" t="n">
        <v>20</v>
      </c>
      <c r="H444" t="inlineStr">
        <is>
          <t>자재 대기</t>
        </is>
      </c>
      <c r="I444" t="n">
        <v>4.8</v>
      </c>
      <c r="J444" t="n">
        <v>5442</v>
      </c>
      <c r="K444" t="n">
        <v>5431</v>
      </c>
      <c r="L444" t="inlineStr">
        <is>
          <t>L-0701</t>
        </is>
      </c>
      <c r="M444">
        <f>F444-G444</f>
        <v/>
      </c>
      <c r="N444" s="2">
        <f>M444/F444</f>
        <v/>
      </c>
      <c r="O444" s="2">
        <f>I444*J444/60/M444</f>
        <v/>
      </c>
      <c r="P444" s="2">
        <f>K444/J444</f>
        <v/>
      </c>
      <c r="Q444" s="2">
        <f>N444*O444*P444</f>
        <v/>
      </c>
    </row>
    <row r="445">
      <c r="A445" t="inlineStr">
        <is>
          <t>2026-07-19</t>
        </is>
      </c>
      <c r="B445" t="inlineStr">
        <is>
          <t>주간</t>
        </is>
      </c>
      <c r="C445" t="inlineStr">
        <is>
          <t>P6</t>
        </is>
      </c>
      <c r="D445" t="inlineStr">
        <is>
          <t>포장</t>
        </is>
      </c>
      <c r="E445" t="inlineStr">
        <is>
          <t>PK-02</t>
        </is>
      </c>
      <c r="F445" t="n">
        <v>480</v>
      </c>
      <c r="G445" t="n">
        <v>2</v>
      </c>
      <c r="H445" t="inlineStr">
        <is>
          <t>자재 대기</t>
        </is>
      </c>
      <c r="I445" t="n">
        <v>4.8</v>
      </c>
      <c r="J445" t="n">
        <v>5355</v>
      </c>
      <c r="K445" t="n">
        <v>5344</v>
      </c>
      <c r="L445" t="inlineStr">
        <is>
          <t>L-0701</t>
        </is>
      </c>
      <c r="M445">
        <f>F445-G445</f>
        <v/>
      </c>
      <c r="N445" s="2">
        <f>M445/F445</f>
        <v/>
      </c>
      <c r="O445" s="2">
        <f>I445*J445/60/M445</f>
        <v/>
      </c>
      <c r="P445" s="2">
        <f>K445/J445</f>
        <v/>
      </c>
      <c r="Q445" s="2">
        <f>N445*O445*P445</f>
        <v/>
      </c>
    </row>
    <row r="446">
      <c r="A446" t="inlineStr">
        <is>
          <t>2026-07-19</t>
        </is>
      </c>
      <c r="B446" t="inlineStr">
        <is>
          <t>야간</t>
        </is>
      </c>
      <c r="C446" t="inlineStr">
        <is>
          <t>P1</t>
        </is>
      </c>
      <c r="D446" t="inlineStr">
        <is>
          <t>원료혼합</t>
        </is>
      </c>
      <c r="E446" t="inlineStr">
        <is>
          <t>MX-01</t>
        </is>
      </c>
      <c r="F446" t="n">
        <v>480</v>
      </c>
      <c r="G446" t="n">
        <v>29</v>
      </c>
      <c r="H446" t="inlineStr">
        <is>
          <t>배합 확인</t>
        </is>
      </c>
      <c r="I446" t="n">
        <v>5</v>
      </c>
      <c r="J446" t="n">
        <v>5134</v>
      </c>
      <c r="K446" t="n">
        <v>5096</v>
      </c>
      <c r="L446" t="inlineStr">
        <is>
          <t>L-0701</t>
        </is>
      </c>
      <c r="M446">
        <f>F446-G446</f>
        <v/>
      </c>
      <c r="N446" s="2">
        <f>M446/F446</f>
        <v/>
      </c>
      <c r="O446" s="2">
        <f>I446*J446/60/M446</f>
        <v/>
      </c>
      <c r="P446" s="2">
        <f>K446/J446</f>
        <v/>
      </c>
      <c r="Q446" s="2">
        <f>N446*O446*P446</f>
        <v/>
      </c>
    </row>
    <row r="447">
      <c r="A447" t="inlineStr">
        <is>
          <t>2026-07-19</t>
        </is>
      </c>
      <c r="B447" t="inlineStr">
        <is>
          <t>야간</t>
        </is>
      </c>
      <c r="C447" t="inlineStr">
        <is>
          <t>P1</t>
        </is>
      </c>
      <c r="D447" t="inlineStr">
        <is>
          <t>원료혼합</t>
        </is>
      </c>
      <c r="E447" t="inlineStr">
        <is>
          <t>MX-02</t>
        </is>
      </c>
      <c r="F447" t="n">
        <v>480</v>
      </c>
      <c r="G447" t="n">
        <v>57</v>
      </c>
      <c r="H447" t="inlineStr">
        <is>
          <t>배합 확인</t>
        </is>
      </c>
      <c r="I447" t="n">
        <v>5</v>
      </c>
      <c r="J447" t="n">
        <v>4751</v>
      </c>
      <c r="K447" t="n">
        <v>4721</v>
      </c>
      <c r="L447" t="inlineStr">
        <is>
          <t>L-0701</t>
        </is>
      </c>
      <c r="M447">
        <f>F447-G447</f>
        <v/>
      </c>
      <c r="N447" s="2">
        <f>M447/F447</f>
        <v/>
      </c>
      <c r="O447" s="2">
        <f>I447*J447/60/M447</f>
        <v/>
      </c>
      <c r="P447" s="2">
        <f>K447/J447</f>
        <v/>
      </c>
      <c r="Q447" s="2">
        <f>N447*O447*P447</f>
        <v/>
      </c>
    </row>
    <row r="448">
      <c r="A448" t="inlineStr">
        <is>
          <t>2026-07-19</t>
        </is>
      </c>
      <c r="B448" t="inlineStr">
        <is>
          <t>야간</t>
        </is>
      </c>
      <c r="C448" t="inlineStr">
        <is>
          <t>P2</t>
        </is>
      </c>
      <c r="D448" t="inlineStr">
        <is>
          <t>성형</t>
        </is>
      </c>
      <c r="E448" t="inlineStr">
        <is>
          <t>PR-01</t>
        </is>
      </c>
      <c r="F448" t="n">
        <v>480</v>
      </c>
      <c r="G448" t="n">
        <v>7</v>
      </c>
      <c r="H448" t="inlineStr">
        <is>
          <t>금형 교체</t>
        </is>
      </c>
      <c r="I448" t="n">
        <v>6</v>
      </c>
      <c r="J448" t="n">
        <v>4289</v>
      </c>
      <c r="K448" t="n">
        <v>4250</v>
      </c>
      <c r="L448" t="inlineStr">
        <is>
          <t>L-0701</t>
        </is>
      </c>
      <c r="M448">
        <f>F448-G448</f>
        <v/>
      </c>
      <c r="N448" s="2">
        <f>M448/F448</f>
        <v/>
      </c>
      <c r="O448" s="2">
        <f>I448*J448/60/M448</f>
        <v/>
      </c>
      <c r="P448" s="2">
        <f>K448/J448</f>
        <v/>
      </c>
      <c r="Q448" s="2">
        <f>N448*O448*P448</f>
        <v/>
      </c>
    </row>
    <row r="449">
      <c r="A449" t="inlineStr">
        <is>
          <t>2026-07-19</t>
        </is>
      </c>
      <c r="B449" t="inlineStr">
        <is>
          <t>야간</t>
        </is>
      </c>
      <c r="C449" t="inlineStr">
        <is>
          <t>P2</t>
        </is>
      </c>
      <c r="D449" t="inlineStr">
        <is>
          <t>성형</t>
        </is>
      </c>
      <c r="E449" t="inlineStr">
        <is>
          <t>PR-02</t>
        </is>
      </c>
      <c r="F449" t="n">
        <v>480</v>
      </c>
      <c r="G449" t="n">
        <v>22</v>
      </c>
      <c r="H449" t="inlineStr">
        <is>
          <t>압력 이상</t>
        </is>
      </c>
      <c r="I449" t="n">
        <v>6</v>
      </c>
      <c r="J449" t="n">
        <v>4226</v>
      </c>
      <c r="K449" t="n">
        <v>4183</v>
      </c>
      <c r="L449" t="inlineStr">
        <is>
          <t>L-0701</t>
        </is>
      </c>
      <c r="M449">
        <f>F449-G449</f>
        <v/>
      </c>
      <c r="N449" s="2">
        <f>M449/F449</f>
        <v/>
      </c>
      <c r="O449" s="2">
        <f>I449*J449/60/M449</f>
        <v/>
      </c>
      <c r="P449" s="2">
        <f>K449/J449</f>
        <v/>
      </c>
      <c r="Q449" s="2">
        <f>N449*O449*P449</f>
        <v/>
      </c>
    </row>
    <row r="450">
      <c r="A450" t="inlineStr">
        <is>
          <t>2026-07-19</t>
        </is>
      </c>
      <c r="B450" t="inlineStr">
        <is>
          <t>야간</t>
        </is>
      </c>
      <c r="C450" t="inlineStr">
        <is>
          <t>P3</t>
        </is>
      </c>
      <c r="D450" t="inlineStr">
        <is>
          <t>소결</t>
        </is>
      </c>
      <c r="E450" t="inlineStr">
        <is>
          <t>SF-01</t>
        </is>
      </c>
      <c r="F450" t="n">
        <v>480</v>
      </c>
      <c r="G450" t="n">
        <v>43</v>
      </c>
      <c r="H450" t="inlineStr">
        <is>
          <t>승온 대기</t>
        </is>
      </c>
      <c r="I450" t="n">
        <v>6.5</v>
      </c>
      <c r="J450" t="n">
        <v>3797</v>
      </c>
      <c r="K450" t="n">
        <v>3717</v>
      </c>
      <c r="L450" t="inlineStr">
        <is>
          <t>L-0701</t>
        </is>
      </c>
      <c r="M450">
        <f>F450-G450</f>
        <v/>
      </c>
      <c r="N450" s="2">
        <f>M450/F450</f>
        <v/>
      </c>
      <c r="O450" s="2">
        <f>I450*J450/60/M450</f>
        <v/>
      </c>
      <c r="P450" s="2">
        <f>K450/J450</f>
        <v/>
      </c>
      <c r="Q450" s="2">
        <f>N450*O450*P450</f>
        <v/>
      </c>
    </row>
    <row r="451">
      <c r="A451" t="inlineStr">
        <is>
          <t>2026-07-19</t>
        </is>
      </c>
      <c r="B451" t="inlineStr">
        <is>
          <t>야간</t>
        </is>
      </c>
      <c r="C451" t="inlineStr">
        <is>
          <t>P3</t>
        </is>
      </c>
      <c r="D451" t="inlineStr">
        <is>
          <t>소결</t>
        </is>
      </c>
      <c r="E451" t="inlineStr">
        <is>
          <t>SF-02</t>
        </is>
      </c>
      <c r="F451" t="n">
        <v>480</v>
      </c>
      <c r="G451" t="n">
        <v>12</v>
      </c>
      <c r="H451" t="inlineStr">
        <is>
          <t>장입 대기</t>
        </is>
      </c>
      <c r="I451" t="n">
        <v>6.5</v>
      </c>
      <c r="J451" t="n">
        <v>3960</v>
      </c>
      <c r="K451" t="n">
        <v>3850</v>
      </c>
      <c r="L451" t="inlineStr">
        <is>
          <t>L-0701</t>
        </is>
      </c>
      <c r="M451">
        <f>F451-G451</f>
        <v/>
      </c>
      <c r="N451" s="2">
        <f>M451/F451</f>
        <v/>
      </c>
      <c r="O451" s="2">
        <f>I451*J451/60/M451</f>
        <v/>
      </c>
      <c r="P451" s="2">
        <f>K451/J451</f>
        <v/>
      </c>
      <c r="Q451" s="2">
        <f>N451*O451*P451</f>
        <v/>
      </c>
    </row>
    <row r="452">
      <c r="A452" t="inlineStr">
        <is>
          <t>2026-07-19</t>
        </is>
      </c>
      <c r="B452" t="inlineStr">
        <is>
          <t>야간</t>
        </is>
      </c>
      <c r="C452" t="inlineStr">
        <is>
          <t>P4</t>
        </is>
      </c>
      <c r="D452" t="inlineStr">
        <is>
          <t>연삭</t>
        </is>
      </c>
      <c r="E452" t="inlineStr">
        <is>
          <t>GR-01</t>
        </is>
      </c>
      <c r="F452" t="n">
        <v>480</v>
      </c>
      <c r="G452" t="n">
        <v>46</v>
      </c>
      <c r="H452" t="inlineStr">
        <is>
          <t>드레싱</t>
        </is>
      </c>
      <c r="I452" t="n">
        <v>6.2</v>
      </c>
      <c r="J452" t="n">
        <v>3804</v>
      </c>
      <c r="K452" t="n">
        <v>3768</v>
      </c>
      <c r="L452" t="inlineStr">
        <is>
          <t>L-0701</t>
        </is>
      </c>
      <c r="M452">
        <f>F452-G452</f>
        <v/>
      </c>
      <c r="N452" s="2">
        <f>M452/F452</f>
        <v/>
      </c>
      <c r="O452" s="2">
        <f>I452*J452/60/M452</f>
        <v/>
      </c>
      <c r="P452" s="2">
        <f>K452/J452</f>
        <v/>
      </c>
      <c r="Q452" s="2">
        <f>N452*O452*P452</f>
        <v/>
      </c>
    </row>
    <row r="453">
      <c r="A453" t="inlineStr">
        <is>
          <t>2026-07-19</t>
        </is>
      </c>
      <c r="B453" t="inlineStr">
        <is>
          <t>야간</t>
        </is>
      </c>
      <c r="C453" t="inlineStr">
        <is>
          <t>P4</t>
        </is>
      </c>
      <c r="D453" t="inlineStr">
        <is>
          <t>연삭</t>
        </is>
      </c>
      <c r="E453" t="inlineStr">
        <is>
          <t>GR-02</t>
        </is>
      </c>
      <c r="F453" t="n">
        <v>480</v>
      </c>
      <c r="G453" t="n">
        <v>50</v>
      </c>
      <c r="H453" t="inlineStr">
        <is>
          <t>드레싱</t>
        </is>
      </c>
      <c r="I453" t="n">
        <v>6.2</v>
      </c>
      <c r="J453" t="n">
        <v>3999</v>
      </c>
      <c r="K453" t="n">
        <v>3951</v>
      </c>
      <c r="L453" t="inlineStr">
        <is>
          <t>L-0701</t>
        </is>
      </c>
      <c r="M453">
        <f>F453-G453</f>
        <v/>
      </c>
      <c r="N453" s="2">
        <f>M453/F453</f>
        <v/>
      </c>
      <c r="O453" s="2">
        <f>I453*J453/60/M453</f>
        <v/>
      </c>
      <c r="P453" s="2">
        <f>K453/J453</f>
        <v/>
      </c>
      <c r="Q453" s="2">
        <f>N453*O453*P453</f>
        <v/>
      </c>
    </row>
    <row r="454">
      <c r="A454" t="inlineStr">
        <is>
          <t>2026-07-19</t>
        </is>
      </c>
      <c r="B454" t="inlineStr">
        <is>
          <t>야간</t>
        </is>
      </c>
      <c r="C454" t="inlineStr">
        <is>
          <t>P5</t>
        </is>
      </c>
      <c r="D454" t="inlineStr">
        <is>
          <t>검사</t>
        </is>
      </c>
      <c r="E454" t="inlineStr">
        <is>
          <t>IN-01</t>
        </is>
      </c>
      <c r="F454" t="n">
        <v>480</v>
      </c>
      <c r="G454" t="n">
        <v>2</v>
      </c>
      <c r="H454" t="inlineStr">
        <is>
          <t>측정기 교정</t>
        </is>
      </c>
      <c r="I454" t="n">
        <v>5.5</v>
      </c>
      <c r="J454" t="n">
        <v>4812</v>
      </c>
      <c r="K454" t="n">
        <v>4793</v>
      </c>
      <c r="L454" t="inlineStr">
        <is>
          <t>L-0701</t>
        </is>
      </c>
      <c r="M454">
        <f>F454-G454</f>
        <v/>
      </c>
      <c r="N454" s="2">
        <f>M454/F454</f>
        <v/>
      </c>
      <c r="O454" s="2">
        <f>I454*J454/60/M454</f>
        <v/>
      </c>
      <c r="P454" s="2">
        <f>K454/J454</f>
        <v/>
      </c>
      <c r="Q454" s="2">
        <f>N454*O454*P454</f>
        <v/>
      </c>
    </row>
    <row r="455">
      <c r="A455" t="inlineStr">
        <is>
          <t>2026-07-19</t>
        </is>
      </c>
      <c r="B455" t="inlineStr">
        <is>
          <t>야간</t>
        </is>
      </c>
      <c r="C455" t="inlineStr">
        <is>
          <t>P5</t>
        </is>
      </c>
      <c r="D455" t="inlineStr">
        <is>
          <t>검사</t>
        </is>
      </c>
      <c r="E455" t="inlineStr">
        <is>
          <t>IN-02</t>
        </is>
      </c>
      <c r="F455" t="n">
        <v>480</v>
      </c>
      <c r="G455" t="n">
        <v>11</v>
      </c>
      <c r="H455" t="inlineStr">
        <is>
          <t>측정기 교정</t>
        </is>
      </c>
      <c r="I455" t="n">
        <v>5.5</v>
      </c>
      <c r="J455" t="n">
        <v>4726</v>
      </c>
      <c r="K455" t="n">
        <v>4705</v>
      </c>
      <c r="L455" t="inlineStr">
        <is>
          <t>L-0701</t>
        </is>
      </c>
      <c r="M455">
        <f>F455-G455</f>
        <v/>
      </c>
      <c r="N455" s="2">
        <f>M455/F455</f>
        <v/>
      </c>
      <c r="O455" s="2">
        <f>I455*J455/60/M455</f>
        <v/>
      </c>
      <c r="P455" s="2">
        <f>K455/J455</f>
        <v/>
      </c>
      <c r="Q455" s="2">
        <f>N455*O455*P455</f>
        <v/>
      </c>
    </row>
    <row r="456">
      <c r="A456" t="inlineStr">
        <is>
          <t>2026-07-19</t>
        </is>
      </c>
      <c r="B456" t="inlineStr">
        <is>
          <t>야간</t>
        </is>
      </c>
      <c r="C456" t="inlineStr">
        <is>
          <t>P6</t>
        </is>
      </c>
      <c r="D456" t="inlineStr">
        <is>
          <t>포장</t>
        </is>
      </c>
      <c r="E456" t="inlineStr">
        <is>
          <t>PK-01</t>
        </is>
      </c>
      <c r="F456" t="n">
        <v>480</v>
      </c>
      <c r="G456" t="n">
        <v>24</v>
      </c>
      <c r="H456" t="inlineStr">
        <is>
          <t>라벨 교체</t>
        </is>
      </c>
      <c r="I456" t="n">
        <v>4.8</v>
      </c>
      <c r="J456" t="n">
        <v>5347</v>
      </c>
      <c r="K456" t="n">
        <v>5330</v>
      </c>
      <c r="L456" t="inlineStr">
        <is>
          <t>L-0701</t>
        </is>
      </c>
      <c r="M456">
        <f>F456-G456</f>
        <v/>
      </c>
      <c r="N456" s="2">
        <f>M456/F456</f>
        <v/>
      </c>
      <c r="O456" s="2">
        <f>I456*J456/60/M456</f>
        <v/>
      </c>
      <c r="P456" s="2">
        <f>K456/J456</f>
        <v/>
      </c>
      <c r="Q456" s="2">
        <f>N456*O456*P456</f>
        <v/>
      </c>
    </row>
    <row r="457">
      <c r="A457" t="inlineStr">
        <is>
          <t>2026-07-19</t>
        </is>
      </c>
      <c r="B457" t="inlineStr">
        <is>
          <t>야간</t>
        </is>
      </c>
      <c r="C457" t="inlineStr">
        <is>
          <t>P6</t>
        </is>
      </c>
      <c r="D457" t="inlineStr">
        <is>
          <t>포장</t>
        </is>
      </c>
      <c r="E457" t="inlineStr">
        <is>
          <t>PK-02</t>
        </is>
      </c>
      <c r="F457" t="n">
        <v>480</v>
      </c>
      <c r="G457" t="n">
        <v>24</v>
      </c>
      <c r="H457" t="inlineStr">
        <is>
          <t>자재 대기</t>
        </is>
      </c>
      <c r="I457" t="n">
        <v>4.8</v>
      </c>
      <c r="J457" t="n">
        <v>5172</v>
      </c>
      <c r="K457" t="n">
        <v>5158</v>
      </c>
      <c r="L457" t="inlineStr">
        <is>
          <t>L-0701</t>
        </is>
      </c>
      <c r="M457">
        <f>F457-G457</f>
        <v/>
      </c>
      <c r="N457" s="2">
        <f>M457/F457</f>
        <v/>
      </c>
      <c r="O457" s="2">
        <f>I457*J457/60/M457</f>
        <v/>
      </c>
      <c r="P457" s="2">
        <f>K457/J457</f>
        <v/>
      </c>
      <c r="Q457" s="2">
        <f>N457*O457*P457</f>
        <v/>
      </c>
    </row>
    <row r="458">
      <c r="A458" t="inlineStr">
        <is>
          <t>2026-07-20</t>
        </is>
      </c>
      <c r="B458" t="inlineStr">
        <is>
          <t>주간</t>
        </is>
      </c>
      <c r="C458" t="inlineStr">
        <is>
          <t>P1</t>
        </is>
      </c>
      <c r="D458" t="inlineStr">
        <is>
          <t>원료혼합</t>
        </is>
      </c>
      <c r="E458" t="inlineStr">
        <is>
          <t>MX-01</t>
        </is>
      </c>
      <c r="F458" t="n">
        <v>480</v>
      </c>
      <c r="G458" t="n">
        <v>18</v>
      </c>
      <c r="H458" t="inlineStr">
        <is>
          <t>원료 대기</t>
        </is>
      </c>
      <c r="I458" t="n">
        <v>5</v>
      </c>
      <c r="J458" t="n">
        <v>4968</v>
      </c>
      <c r="K458" t="n">
        <v>4939</v>
      </c>
      <c r="L458" t="inlineStr">
        <is>
          <t>L-0720</t>
        </is>
      </c>
      <c r="M458">
        <f>F458-G458</f>
        <v/>
      </c>
      <c r="N458" s="2">
        <f>M458/F458</f>
        <v/>
      </c>
      <c r="O458" s="2">
        <f>I458*J458/60/M458</f>
        <v/>
      </c>
      <c r="P458" s="2">
        <f>K458/J458</f>
        <v/>
      </c>
      <c r="Q458" s="2">
        <f>N458*O458*P458</f>
        <v/>
      </c>
    </row>
    <row r="459">
      <c r="A459" t="inlineStr">
        <is>
          <t>2026-07-20</t>
        </is>
      </c>
      <c r="B459" t="inlineStr">
        <is>
          <t>주간</t>
        </is>
      </c>
      <c r="C459" t="inlineStr">
        <is>
          <t>P1</t>
        </is>
      </c>
      <c r="D459" t="inlineStr">
        <is>
          <t>원료혼합</t>
        </is>
      </c>
      <c r="E459" t="inlineStr">
        <is>
          <t>MX-02</t>
        </is>
      </c>
      <c r="F459" t="n">
        <v>480</v>
      </c>
      <c r="G459" t="n">
        <v>24</v>
      </c>
      <c r="H459" t="inlineStr">
        <is>
          <t>배합 확인</t>
        </is>
      </c>
      <c r="I459" t="n">
        <v>5</v>
      </c>
      <c r="J459" t="n">
        <v>5175</v>
      </c>
      <c r="K459" t="n">
        <v>5140</v>
      </c>
      <c r="L459" t="inlineStr">
        <is>
          <t>L-0720</t>
        </is>
      </c>
      <c r="M459">
        <f>F459-G459</f>
        <v/>
      </c>
      <c r="N459" s="2">
        <f>M459/F459</f>
        <v/>
      </c>
      <c r="O459" s="2">
        <f>I459*J459/60/M459</f>
        <v/>
      </c>
      <c r="P459" s="2">
        <f>K459/J459</f>
        <v/>
      </c>
      <c r="Q459" s="2">
        <f>N459*O459*P459</f>
        <v/>
      </c>
    </row>
    <row r="460">
      <c r="A460" t="inlineStr">
        <is>
          <t>2026-07-20</t>
        </is>
      </c>
      <c r="B460" t="inlineStr">
        <is>
          <t>주간</t>
        </is>
      </c>
      <c r="C460" t="inlineStr">
        <is>
          <t>P2</t>
        </is>
      </c>
      <c r="D460" t="inlineStr">
        <is>
          <t>성형</t>
        </is>
      </c>
      <c r="E460" t="inlineStr">
        <is>
          <t>PR-01</t>
        </is>
      </c>
      <c r="F460" t="n">
        <v>480</v>
      </c>
      <c r="G460" t="n">
        <v>15</v>
      </c>
      <c r="H460" t="inlineStr">
        <is>
          <t>금형 교체</t>
        </is>
      </c>
      <c r="I460" t="n">
        <v>6</v>
      </c>
      <c r="J460" t="n">
        <v>4135</v>
      </c>
      <c r="K460" t="n">
        <v>4098</v>
      </c>
      <c r="L460" t="inlineStr">
        <is>
          <t>L-0720</t>
        </is>
      </c>
      <c r="M460">
        <f>F460-G460</f>
        <v/>
      </c>
      <c r="N460" s="2">
        <f>M460/F460</f>
        <v/>
      </c>
      <c r="O460" s="2">
        <f>I460*J460/60/M460</f>
        <v/>
      </c>
      <c r="P460" s="2">
        <f>K460/J460</f>
        <v/>
      </c>
      <c r="Q460" s="2">
        <f>N460*O460*P460</f>
        <v/>
      </c>
    </row>
    <row r="461">
      <c r="A461" t="inlineStr">
        <is>
          <t>2026-07-20</t>
        </is>
      </c>
      <c r="B461" t="inlineStr">
        <is>
          <t>주간</t>
        </is>
      </c>
      <c r="C461" t="inlineStr">
        <is>
          <t>P2</t>
        </is>
      </c>
      <c r="D461" t="inlineStr">
        <is>
          <t>성형</t>
        </is>
      </c>
      <c r="E461" t="inlineStr">
        <is>
          <t>PR-02</t>
        </is>
      </c>
      <c r="F461" t="n">
        <v>480</v>
      </c>
      <c r="G461" t="n">
        <v>3</v>
      </c>
      <c r="H461" t="inlineStr">
        <is>
          <t>분말 공급 지연</t>
        </is>
      </c>
      <c r="I461" t="n">
        <v>6</v>
      </c>
      <c r="J461" t="n">
        <v>4511</v>
      </c>
      <c r="K461" t="n">
        <v>4475</v>
      </c>
      <c r="L461" t="inlineStr">
        <is>
          <t>L-0720</t>
        </is>
      </c>
      <c r="M461">
        <f>F461-G461</f>
        <v/>
      </c>
      <c r="N461" s="2">
        <f>M461/F461</f>
        <v/>
      </c>
      <c r="O461" s="2">
        <f>I461*J461/60/M461</f>
        <v/>
      </c>
      <c r="P461" s="2">
        <f>K461/J461</f>
        <v/>
      </c>
      <c r="Q461" s="2">
        <f>N461*O461*P461</f>
        <v/>
      </c>
    </row>
    <row r="462">
      <c r="A462" t="inlineStr">
        <is>
          <t>2026-07-20</t>
        </is>
      </c>
      <c r="B462" t="inlineStr">
        <is>
          <t>주간</t>
        </is>
      </c>
      <c r="C462" t="inlineStr">
        <is>
          <t>P3</t>
        </is>
      </c>
      <c r="D462" t="inlineStr">
        <is>
          <t>소결</t>
        </is>
      </c>
      <c r="E462" t="inlineStr">
        <is>
          <t>SF-01</t>
        </is>
      </c>
      <c r="F462" t="n">
        <v>480</v>
      </c>
      <c r="G462" t="n">
        <v>59</v>
      </c>
      <c r="H462" t="inlineStr">
        <is>
          <t>온도 이상 정지</t>
        </is>
      </c>
      <c r="I462" t="n">
        <v>6.5</v>
      </c>
      <c r="J462" t="n">
        <v>3522</v>
      </c>
      <c r="K462" t="n">
        <v>3456</v>
      </c>
      <c r="L462" t="inlineStr">
        <is>
          <t>L-0720</t>
        </is>
      </c>
      <c r="M462">
        <f>F462-G462</f>
        <v/>
      </c>
      <c r="N462" s="2">
        <f>M462/F462</f>
        <v/>
      </c>
      <c r="O462" s="2">
        <f>I462*J462/60/M462</f>
        <v/>
      </c>
      <c r="P462" s="2">
        <f>K462/J462</f>
        <v/>
      </c>
      <c r="Q462" s="2">
        <f>N462*O462*P462</f>
        <v/>
      </c>
    </row>
    <row r="463">
      <c r="A463" t="inlineStr">
        <is>
          <t>2026-07-20</t>
        </is>
      </c>
      <c r="B463" t="inlineStr">
        <is>
          <t>주간</t>
        </is>
      </c>
      <c r="C463" t="inlineStr">
        <is>
          <t>P3</t>
        </is>
      </c>
      <c r="D463" t="inlineStr">
        <is>
          <t>소결</t>
        </is>
      </c>
      <c r="E463" t="inlineStr">
        <is>
          <t>SF-02</t>
        </is>
      </c>
      <c r="F463" t="n">
        <v>480</v>
      </c>
      <c r="G463" t="n">
        <v>49</v>
      </c>
      <c r="H463" t="inlineStr">
        <is>
          <t>장입 대기</t>
        </is>
      </c>
      <c r="I463" t="n">
        <v>6.5</v>
      </c>
      <c r="J463" t="n">
        <v>3735</v>
      </c>
      <c r="K463" t="n">
        <v>3658</v>
      </c>
      <c r="L463" t="inlineStr">
        <is>
          <t>L-0720</t>
        </is>
      </c>
      <c r="M463">
        <f>F463-G463</f>
        <v/>
      </c>
      <c r="N463" s="2">
        <f>M463/F463</f>
        <v/>
      </c>
      <c r="O463" s="2">
        <f>I463*J463/60/M463</f>
        <v/>
      </c>
      <c r="P463" s="2">
        <f>K463/J463</f>
        <v/>
      </c>
      <c r="Q463" s="2">
        <f>N463*O463*P463</f>
        <v/>
      </c>
    </row>
    <row r="464">
      <c r="A464" t="inlineStr">
        <is>
          <t>2026-07-20</t>
        </is>
      </c>
      <c r="B464" t="inlineStr">
        <is>
          <t>주간</t>
        </is>
      </c>
      <c r="C464" t="inlineStr">
        <is>
          <t>P4</t>
        </is>
      </c>
      <c r="D464" t="inlineStr">
        <is>
          <t>연삭</t>
        </is>
      </c>
      <c r="E464" t="inlineStr">
        <is>
          <t>GR-01</t>
        </is>
      </c>
      <c r="F464" t="n">
        <v>480</v>
      </c>
      <c r="G464" t="n">
        <v>59</v>
      </c>
      <c r="H464" t="inlineStr">
        <is>
          <t>공구 교체</t>
        </is>
      </c>
      <c r="I464" t="n">
        <v>6.2</v>
      </c>
      <c r="J464" t="n">
        <v>3838</v>
      </c>
      <c r="K464" t="n">
        <v>3802</v>
      </c>
      <c r="L464" t="inlineStr">
        <is>
          <t>L-0720</t>
        </is>
      </c>
      <c r="M464">
        <f>F464-G464</f>
        <v/>
      </c>
      <c r="N464" s="2">
        <f>M464/F464</f>
        <v/>
      </c>
      <c r="O464" s="2">
        <f>I464*J464/60/M464</f>
        <v/>
      </c>
      <c r="P464" s="2">
        <f>K464/J464</f>
        <v/>
      </c>
      <c r="Q464" s="2">
        <f>N464*O464*P464</f>
        <v/>
      </c>
    </row>
    <row r="465">
      <c r="A465" t="inlineStr">
        <is>
          <t>2026-07-20</t>
        </is>
      </c>
      <c r="B465" t="inlineStr">
        <is>
          <t>주간</t>
        </is>
      </c>
      <c r="C465" t="inlineStr">
        <is>
          <t>P4</t>
        </is>
      </c>
      <c r="D465" t="inlineStr">
        <is>
          <t>연삭</t>
        </is>
      </c>
      <c r="E465" t="inlineStr">
        <is>
          <t>GR-02</t>
        </is>
      </c>
      <c r="F465" t="n">
        <v>480</v>
      </c>
      <c r="G465" t="n">
        <v>49</v>
      </c>
      <c r="H465" t="inlineStr">
        <is>
          <t>공구 교체</t>
        </is>
      </c>
      <c r="I465" t="n">
        <v>6.2</v>
      </c>
      <c r="J465" t="n">
        <v>3891</v>
      </c>
      <c r="K465" t="n">
        <v>3849</v>
      </c>
      <c r="L465" t="inlineStr">
        <is>
          <t>L-0720</t>
        </is>
      </c>
      <c r="M465">
        <f>F465-G465</f>
        <v/>
      </c>
      <c r="N465" s="2">
        <f>M465/F465</f>
        <v/>
      </c>
      <c r="O465" s="2">
        <f>I465*J465/60/M465</f>
        <v/>
      </c>
      <c r="P465" s="2">
        <f>K465/J465</f>
        <v/>
      </c>
      <c r="Q465" s="2">
        <f>N465*O465*P465</f>
        <v/>
      </c>
    </row>
    <row r="466">
      <c r="A466" t="inlineStr">
        <is>
          <t>2026-07-20</t>
        </is>
      </c>
      <c r="B466" t="inlineStr">
        <is>
          <t>주간</t>
        </is>
      </c>
      <c r="C466" t="inlineStr">
        <is>
          <t>P5</t>
        </is>
      </c>
      <c r="D466" t="inlineStr">
        <is>
          <t>검사</t>
        </is>
      </c>
      <c r="E466" t="inlineStr">
        <is>
          <t>IN-01</t>
        </is>
      </c>
      <c r="F466" t="n">
        <v>480</v>
      </c>
      <c r="G466" t="n">
        <v>13</v>
      </c>
      <c r="H466" t="inlineStr">
        <is>
          <t>샘플 재검</t>
        </is>
      </c>
      <c r="I466" t="n">
        <v>5.5</v>
      </c>
      <c r="J466" t="n">
        <v>4641</v>
      </c>
      <c r="K466" t="n">
        <v>4627</v>
      </c>
      <c r="L466" t="inlineStr">
        <is>
          <t>L-0720</t>
        </is>
      </c>
      <c r="M466">
        <f>F466-G466</f>
        <v/>
      </c>
      <c r="N466" s="2">
        <f>M466/F466</f>
        <v/>
      </c>
      <c r="O466" s="2">
        <f>I466*J466/60/M466</f>
        <v/>
      </c>
      <c r="P466" s="2">
        <f>K466/J466</f>
        <v/>
      </c>
      <c r="Q466" s="2">
        <f>N466*O466*P466</f>
        <v/>
      </c>
    </row>
    <row r="467">
      <c r="A467" t="inlineStr">
        <is>
          <t>2026-07-20</t>
        </is>
      </c>
      <c r="B467" t="inlineStr">
        <is>
          <t>주간</t>
        </is>
      </c>
      <c r="C467" t="inlineStr">
        <is>
          <t>P5</t>
        </is>
      </c>
      <c r="D467" t="inlineStr">
        <is>
          <t>검사</t>
        </is>
      </c>
      <c r="E467" t="inlineStr">
        <is>
          <t>IN-02</t>
        </is>
      </c>
      <c r="F467" t="n">
        <v>480</v>
      </c>
      <c r="G467" t="n">
        <v>17</v>
      </c>
      <c r="H467" t="inlineStr">
        <is>
          <t>샘플 재검</t>
        </is>
      </c>
      <c r="I467" t="n">
        <v>5.5</v>
      </c>
      <c r="J467" t="n">
        <v>4639</v>
      </c>
      <c r="K467" t="n">
        <v>4625</v>
      </c>
      <c r="L467" t="inlineStr">
        <is>
          <t>L-0720</t>
        </is>
      </c>
      <c r="M467">
        <f>F467-G467</f>
        <v/>
      </c>
      <c r="N467" s="2">
        <f>M467/F467</f>
        <v/>
      </c>
      <c r="O467" s="2">
        <f>I467*J467/60/M467</f>
        <v/>
      </c>
      <c r="P467" s="2">
        <f>K467/J467</f>
        <v/>
      </c>
      <c r="Q467" s="2">
        <f>N467*O467*P467</f>
        <v/>
      </c>
    </row>
    <row r="468">
      <c r="A468" t="inlineStr">
        <is>
          <t>2026-07-20</t>
        </is>
      </c>
      <c r="B468" t="inlineStr">
        <is>
          <t>주간</t>
        </is>
      </c>
      <c r="C468" t="inlineStr">
        <is>
          <t>P6</t>
        </is>
      </c>
      <c r="D468" t="inlineStr">
        <is>
          <t>포장</t>
        </is>
      </c>
      <c r="E468" t="inlineStr">
        <is>
          <t>PK-01</t>
        </is>
      </c>
      <c r="F468" t="n">
        <v>480</v>
      </c>
      <c r="G468" t="n">
        <v>33</v>
      </c>
      <c r="H468" t="inlineStr">
        <is>
          <t>자재 대기</t>
        </is>
      </c>
      <c r="I468" t="n">
        <v>4.8</v>
      </c>
      <c r="J468" t="n">
        <v>5491</v>
      </c>
      <c r="K468" t="n">
        <v>5481</v>
      </c>
      <c r="L468" t="inlineStr">
        <is>
          <t>L-0720</t>
        </is>
      </c>
      <c r="M468">
        <f>F468-G468</f>
        <v/>
      </c>
      <c r="N468" s="2">
        <f>M468/F468</f>
        <v/>
      </c>
      <c r="O468" s="2">
        <f>I468*J468/60/M468</f>
        <v/>
      </c>
      <c r="P468" s="2">
        <f>K468/J468</f>
        <v/>
      </c>
      <c r="Q468" s="2">
        <f>N468*O468*P468</f>
        <v/>
      </c>
    </row>
    <row r="469">
      <c r="A469" t="inlineStr">
        <is>
          <t>2026-07-20</t>
        </is>
      </c>
      <c r="B469" t="inlineStr">
        <is>
          <t>주간</t>
        </is>
      </c>
      <c r="C469" t="inlineStr">
        <is>
          <t>P6</t>
        </is>
      </c>
      <c r="D469" t="inlineStr">
        <is>
          <t>포장</t>
        </is>
      </c>
      <c r="E469" t="inlineStr">
        <is>
          <t>PK-02</t>
        </is>
      </c>
      <c r="F469" t="n">
        <v>480</v>
      </c>
      <c r="G469" t="n">
        <v>16</v>
      </c>
      <c r="H469" t="inlineStr">
        <is>
          <t>라벨 교체</t>
        </is>
      </c>
      <c r="I469" t="n">
        <v>4.8</v>
      </c>
      <c r="J469" t="n">
        <v>5248</v>
      </c>
      <c r="K469" t="n">
        <v>5238</v>
      </c>
      <c r="L469" t="inlineStr">
        <is>
          <t>L-0720</t>
        </is>
      </c>
      <c r="M469">
        <f>F469-G469</f>
        <v/>
      </c>
      <c r="N469" s="2">
        <f>M469/F469</f>
        <v/>
      </c>
      <c r="O469" s="2">
        <f>I469*J469/60/M469</f>
        <v/>
      </c>
      <c r="P469" s="2">
        <f>K469/J469</f>
        <v/>
      </c>
      <c r="Q469" s="2">
        <f>N469*O469*P469</f>
        <v/>
      </c>
    </row>
    <row r="470">
      <c r="A470" t="inlineStr">
        <is>
          <t>2026-07-20</t>
        </is>
      </c>
      <c r="B470" t="inlineStr">
        <is>
          <t>야간</t>
        </is>
      </c>
      <c r="C470" t="inlineStr">
        <is>
          <t>P1</t>
        </is>
      </c>
      <c r="D470" t="inlineStr">
        <is>
          <t>원료혼합</t>
        </is>
      </c>
      <c r="E470" t="inlineStr">
        <is>
          <t>MX-01</t>
        </is>
      </c>
      <c r="F470" t="n">
        <v>480</v>
      </c>
      <c r="G470" t="n">
        <v>37</v>
      </c>
      <c r="H470" t="inlineStr">
        <is>
          <t>배합 확인</t>
        </is>
      </c>
      <c r="I470" t="n">
        <v>5</v>
      </c>
      <c r="J470" t="n">
        <v>5143</v>
      </c>
      <c r="K470" t="n">
        <v>5105</v>
      </c>
      <c r="L470" t="inlineStr">
        <is>
          <t>L-0720</t>
        </is>
      </c>
      <c r="M470">
        <f>F470-G470</f>
        <v/>
      </c>
      <c r="N470" s="2">
        <f>M470/F470</f>
        <v/>
      </c>
      <c r="O470" s="2">
        <f>I470*J470/60/M470</f>
        <v/>
      </c>
      <c r="P470" s="2">
        <f>K470/J470</f>
        <v/>
      </c>
      <c r="Q470" s="2">
        <f>N470*O470*P470</f>
        <v/>
      </c>
    </row>
    <row r="471">
      <c r="A471" t="inlineStr">
        <is>
          <t>2026-07-20</t>
        </is>
      </c>
      <c r="B471" t="inlineStr">
        <is>
          <t>야간</t>
        </is>
      </c>
      <c r="C471" t="inlineStr">
        <is>
          <t>P1</t>
        </is>
      </c>
      <c r="D471" t="inlineStr">
        <is>
          <t>원료혼합</t>
        </is>
      </c>
      <c r="E471" t="inlineStr">
        <is>
          <t>MX-02</t>
        </is>
      </c>
      <c r="F471" t="n">
        <v>480</v>
      </c>
      <c r="G471" t="n">
        <v>16</v>
      </c>
      <c r="H471" t="inlineStr">
        <is>
          <t>원료 대기</t>
        </is>
      </c>
      <c r="I471" t="n">
        <v>5</v>
      </c>
      <c r="J471" t="n">
        <v>5155</v>
      </c>
      <c r="K471" t="n">
        <v>5120</v>
      </c>
      <c r="L471" t="inlineStr">
        <is>
          <t>L-0720</t>
        </is>
      </c>
      <c r="M471">
        <f>F471-G471</f>
        <v/>
      </c>
      <c r="N471" s="2">
        <f>M471/F471</f>
        <v/>
      </c>
      <c r="O471" s="2">
        <f>I471*J471/60/M471</f>
        <v/>
      </c>
      <c r="P471" s="2">
        <f>K471/J471</f>
        <v/>
      </c>
      <c r="Q471" s="2">
        <f>N471*O471*P471</f>
        <v/>
      </c>
    </row>
    <row r="472">
      <c r="A472" t="inlineStr">
        <is>
          <t>2026-07-20</t>
        </is>
      </c>
      <c r="B472" t="inlineStr">
        <is>
          <t>야간</t>
        </is>
      </c>
      <c r="C472" t="inlineStr">
        <is>
          <t>P2</t>
        </is>
      </c>
      <c r="D472" t="inlineStr">
        <is>
          <t>성형</t>
        </is>
      </c>
      <c r="E472" t="inlineStr">
        <is>
          <t>PR-01</t>
        </is>
      </c>
      <c r="F472" t="n">
        <v>480</v>
      </c>
      <c r="G472" t="n">
        <v>2</v>
      </c>
      <c r="H472" t="inlineStr">
        <is>
          <t>분말 공급 지연</t>
        </is>
      </c>
      <c r="I472" t="n">
        <v>6</v>
      </c>
      <c r="J472" t="n">
        <v>4462</v>
      </c>
      <c r="K472" t="n">
        <v>4412</v>
      </c>
      <c r="L472" t="inlineStr">
        <is>
          <t>L-0720</t>
        </is>
      </c>
      <c r="M472">
        <f>F472-G472</f>
        <v/>
      </c>
      <c r="N472" s="2">
        <f>M472/F472</f>
        <v/>
      </c>
      <c r="O472" s="2">
        <f>I472*J472/60/M472</f>
        <v/>
      </c>
      <c r="P472" s="2">
        <f>K472/J472</f>
        <v/>
      </c>
      <c r="Q472" s="2">
        <f>N472*O472*P472</f>
        <v/>
      </c>
    </row>
    <row r="473">
      <c r="A473" t="inlineStr">
        <is>
          <t>2026-07-20</t>
        </is>
      </c>
      <c r="B473" t="inlineStr">
        <is>
          <t>야간</t>
        </is>
      </c>
      <c r="C473" t="inlineStr">
        <is>
          <t>P2</t>
        </is>
      </c>
      <c r="D473" t="inlineStr">
        <is>
          <t>성형</t>
        </is>
      </c>
      <c r="E473" t="inlineStr">
        <is>
          <t>PR-02</t>
        </is>
      </c>
      <c r="F473" t="n">
        <v>480</v>
      </c>
      <c r="G473" t="n">
        <v>22</v>
      </c>
      <c r="H473" t="inlineStr">
        <is>
          <t>금형 교체</t>
        </is>
      </c>
      <c r="I473" t="n">
        <v>6</v>
      </c>
      <c r="J473" t="n">
        <v>4211</v>
      </c>
      <c r="K473" t="n">
        <v>4172</v>
      </c>
      <c r="L473" t="inlineStr">
        <is>
          <t>L-0720</t>
        </is>
      </c>
      <c r="M473">
        <f>F473-G473</f>
        <v/>
      </c>
      <c r="N473" s="2">
        <f>M473/F473</f>
        <v/>
      </c>
      <c r="O473" s="2">
        <f>I473*J473/60/M473</f>
        <v/>
      </c>
      <c r="P473" s="2">
        <f>K473/J473</f>
        <v/>
      </c>
      <c r="Q473" s="2">
        <f>N473*O473*P473</f>
        <v/>
      </c>
    </row>
    <row r="474">
      <c r="A474" t="inlineStr">
        <is>
          <t>2026-07-20</t>
        </is>
      </c>
      <c r="B474" t="inlineStr">
        <is>
          <t>야간</t>
        </is>
      </c>
      <c r="C474" t="inlineStr">
        <is>
          <t>P3</t>
        </is>
      </c>
      <c r="D474" t="inlineStr">
        <is>
          <t>소결</t>
        </is>
      </c>
      <c r="E474" t="inlineStr">
        <is>
          <t>SF-01</t>
        </is>
      </c>
      <c r="F474" t="n">
        <v>480</v>
      </c>
      <c r="G474" t="n">
        <v>36</v>
      </c>
      <c r="H474" t="inlineStr">
        <is>
          <t>온도 이상 정지</t>
        </is>
      </c>
      <c r="I474" t="n">
        <v>6.5</v>
      </c>
      <c r="J474" t="n">
        <v>3738</v>
      </c>
      <c r="K474" t="n">
        <v>3627</v>
      </c>
      <c r="L474" t="inlineStr">
        <is>
          <t>L-0720</t>
        </is>
      </c>
      <c r="M474">
        <f>F474-G474</f>
        <v/>
      </c>
      <c r="N474" s="2">
        <f>M474/F474</f>
        <v/>
      </c>
      <c r="O474" s="2">
        <f>I474*J474/60/M474</f>
        <v/>
      </c>
      <c r="P474" s="2">
        <f>K474/J474</f>
        <v/>
      </c>
      <c r="Q474" s="2">
        <f>N474*O474*P474</f>
        <v/>
      </c>
    </row>
    <row r="475">
      <c r="A475" t="inlineStr">
        <is>
          <t>2026-07-20</t>
        </is>
      </c>
      <c r="B475" t="inlineStr">
        <is>
          <t>야간</t>
        </is>
      </c>
      <c r="C475" t="inlineStr">
        <is>
          <t>P3</t>
        </is>
      </c>
      <c r="D475" t="inlineStr">
        <is>
          <t>소결</t>
        </is>
      </c>
      <c r="E475" t="inlineStr">
        <is>
          <t>SF-02</t>
        </is>
      </c>
      <c r="F475" t="n">
        <v>480</v>
      </c>
      <c r="G475" t="n">
        <v>65</v>
      </c>
      <c r="H475" t="inlineStr">
        <is>
          <t>장입 대기</t>
        </is>
      </c>
      <c r="I475" t="n">
        <v>6.5</v>
      </c>
      <c r="J475" t="n">
        <v>3638</v>
      </c>
      <c r="K475" t="n">
        <v>3579</v>
      </c>
      <c r="L475" t="inlineStr">
        <is>
          <t>L-0720</t>
        </is>
      </c>
      <c r="M475">
        <f>F475-G475</f>
        <v/>
      </c>
      <c r="N475" s="2">
        <f>M475/F475</f>
        <v/>
      </c>
      <c r="O475" s="2">
        <f>I475*J475/60/M475</f>
        <v/>
      </c>
      <c r="P475" s="2">
        <f>K475/J475</f>
        <v/>
      </c>
      <c r="Q475" s="2">
        <f>N475*O475*P475</f>
        <v/>
      </c>
    </row>
    <row r="476">
      <c r="A476" t="inlineStr">
        <is>
          <t>2026-07-20</t>
        </is>
      </c>
      <c r="B476" t="inlineStr">
        <is>
          <t>야간</t>
        </is>
      </c>
      <c r="C476" t="inlineStr">
        <is>
          <t>P4</t>
        </is>
      </c>
      <c r="D476" t="inlineStr">
        <is>
          <t>연삭</t>
        </is>
      </c>
      <c r="E476" t="inlineStr">
        <is>
          <t>GR-01</t>
        </is>
      </c>
      <c r="F476" t="n">
        <v>480</v>
      </c>
      <c r="G476" t="n">
        <v>52</v>
      </c>
      <c r="H476" t="inlineStr">
        <is>
          <t>드레싱</t>
        </is>
      </c>
      <c r="I476" t="n">
        <v>6.2</v>
      </c>
      <c r="J476" t="n">
        <v>3877</v>
      </c>
      <c r="K476" t="n">
        <v>3835</v>
      </c>
      <c r="L476" t="inlineStr">
        <is>
          <t>L-0720</t>
        </is>
      </c>
      <c r="M476">
        <f>F476-G476</f>
        <v/>
      </c>
      <c r="N476" s="2">
        <f>M476/F476</f>
        <v/>
      </c>
      <c r="O476" s="2">
        <f>I476*J476/60/M476</f>
        <v/>
      </c>
      <c r="P476" s="2">
        <f>K476/J476</f>
        <v/>
      </c>
      <c r="Q476" s="2">
        <f>N476*O476*P476</f>
        <v/>
      </c>
    </row>
    <row r="477">
      <c r="A477" t="inlineStr">
        <is>
          <t>2026-07-20</t>
        </is>
      </c>
      <c r="B477" t="inlineStr">
        <is>
          <t>야간</t>
        </is>
      </c>
      <c r="C477" t="inlineStr">
        <is>
          <t>P4</t>
        </is>
      </c>
      <c r="D477" t="inlineStr">
        <is>
          <t>연삭</t>
        </is>
      </c>
      <c r="E477" t="inlineStr">
        <is>
          <t>GR-02</t>
        </is>
      </c>
      <c r="F477" t="n">
        <v>480</v>
      </c>
      <c r="G477" t="n">
        <v>48</v>
      </c>
      <c r="H477" t="inlineStr">
        <is>
          <t>드레싱</t>
        </is>
      </c>
      <c r="I477" t="n">
        <v>6.2</v>
      </c>
      <c r="J477" t="n">
        <v>3963</v>
      </c>
      <c r="K477" t="n">
        <v>3918</v>
      </c>
      <c r="L477" t="inlineStr">
        <is>
          <t>L-0720</t>
        </is>
      </c>
      <c r="M477">
        <f>F477-G477</f>
        <v/>
      </c>
      <c r="N477" s="2">
        <f>M477/F477</f>
        <v/>
      </c>
      <c r="O477" s="2">
        <f>I477*J477/60/M477</f>
        <v/>
      </c>
      <c r="P477" s="2">
        <f>K477/J477</f>
        <v/>
      </c>
      <c r="Q477" s="2">
        <f>N477*O477*P477</f>
        <v/>
      </c>
    </row>
    <row r="478">
      <c r="A478" t="inlineStr">
        <is>
          <t>2026-07-20</t>
        </is>
      </c>
      <c r="B478" t="inlineStr">
        <is>
          <t>야간</t>
        </is>
      </c>
      <c r="C478" t="inlineStr">
        <is>
          <t>P5</t>
        </is>
      </c>
      <c r="D478" t="inlineStr">
        <is>
          <t>검사</t>
        </is>
      </c>
      <c r="E478" t="inlineStr">
        <is>
          <t>IN-01</t>
        </is>
      </c>
      <c r="F478" t="n">
        <v>480</v>
      </c>
      <c r="G478" t="n">
        <v>20</v>
      </c>
      <c r="H478" t="inlineStr">
        <is>
          <t>측정기 교정</t>
        </is>
      </c>
      <c r="I478" t="n">
        <v>5.5</v>
      </c>
      <c r="J478" t="n">
        <v>4821</v>
      </c>
      <c r="K478" t="n">
        <v>4804</v>
      </c>
      <c r="L478" t="inlineStr">
        <is>
          <t>L-0720</t>
        </is>
      </c>
      <c r="M478">
        <f>F478-G478</f>
        <v/>
      </c>
      <c r="N478" s="2">
        <f>M478/F478</f>
        <v/>
      </c>
      <c r="O478" s="2">
        <f>I478*J478/60/M478</f>
        <v/>
      </c>
      <c r="P478" s="2">
        <f>K478/J478</f>
        <v/>
      </c>
      <c r="Q478" s="2">
        <f>N478*O478*P478</f>
        <v/>
      </c>
    </row>
    <row r="479">
      <c r="A479" t="inlineStr">
        <is>
          <t>2026-07-20</t>
        </is>
      </c>
      <c r="B479" t="inlineStr">
        <is>
          <t>야간</t>
        </is>
      </c>
      <c r="C479" t="inlineStr">
        <is>
          <t>P5</t>
        </is>
      </c>
      <c r="D479" t="inlineStr">
        <is>
          <t>검사</t>
        </is>
      </c>
      <c r="E479" t="inlineStr">
        <is>
          <t>IN-02</t>
        </is>
      </c>
      <c r="F479" t="n">
        <v>480</v>
      </c>
      <c r="G479" t="n">
        <v>7</v>
      </c>
      <c r="H479" t="inlineStr">
        <is>
          <t>측정기 교정</t>
        </is>
      </c>
      <c r="I479" t="n">
        <v>5.5</v>
      </c>
      <c r="J479" t="n">
        <v>4753</v>
      </c>
      <c r="K479" t="n">
        <v>4734</v>
      </c>
      <c r="L479" t="inlineStr">
        <is>
          <t>L-0720</t>
        </is>
      </c>
      <c r="M479">
        <f>F479-G479</f>
        <v/>
      </c>
      <c r="N479" s="2">
        <f>M479/F479</f>
        <v/>
      </c>
      <c r="O479" s="2">
        <f>I479*J479/60/M479</f>
        <v/>
      </c>
      <c r="P479" s="2">
        <f>K479/J479</f>
        <v/>
      </c>
      <c r="Q479" s="2">
        <f>N479*O479*P479</f>
        <v/>
      </c>
    </row>
    <row r="480">
      <c r="A480" t="inlineStr">
        <is>
          <t>2026-07-20</t>
        </is>
      </c>
      <c r="B480" t="inlineStr">
        <is>
          <t>야간</t>
        </is>
      </c>
      <c r="C480" t="inlineStr">
        <is>
          <t>P6</t>
        </is>
      </c>
      <c r="D480" t="inlineStr">
        <is>
          <t>포장</t>
        </is>
      </c>
      <c r="E480" t="inlineStr">
        <is>
          <t>PK-01</t>
        </is>
      </c>
      <c r="F480" t="n">
        <v>480</v>
      </c>
      <c r="G480" t="n">
        <v>7</v>
      </c>
      <c r="H480" t="inlineStr">
        <is>
          <t>자재 대기</t>
        </is>
      </c>
      <c r="I480" t="n">
        <v>4.8</v>
      </c>
      <c r="J480" t="n">
        <v>5523</v>
      </c>
      <c r="K480" t="n">
        <v>5508</v>
      </c>
      <c r="L480" t="inlineStr">
        <is>
          <t>L-0720</t>
        </is>
      </c>
      <c r="M480">
        <f>F480-G480</f>
        <v/>
      </c>
      <c r="N480" s="2">
        <f>M480/F480</f>
        <v/>
      </c>
      <c r="O480" s="2">
        <f>I480*J480/60/M480</f>
        <v/>
      </c>
      <c r="P480" s="2">
        <f>K480/J480</f>
        <v/>
      </c>
      <c r="Q480" s="2">
        <f>N480*O480*P480</f>
        <v/>
      </c>
    </row>
    <row r="481">
      <c r="A481" t="inlineStr">
        <is>
          <t>2026-07-20</t>
        </is>
      </c>
      <c r="B481" t="inlineStr">
        <is>
          <t>야간</t>
        </is>
      </c>
      <c r="C481" t="inlineStr">
        <is>
          <t>P6</t>
        </is>
      </c>
      <c r="D481" t="inlineStr">
        <is>
          <t>포장</t>
        </is>
      </c>
      <c r="E481" t="inlineStr">
        <is>
          <t>PK-02</t>
        </is>
      </c>
      <c r="F481" t="n">
        <v>480</v>
      </c>
      <c r="G481" t="n">
        <v>4</v>
      </c>
      <c r="H481" t="inlineStr">
        <is>
          <t>라벨 교체</t>
        </is>
      </c>
      <c r="I481" t="n">
        <v>4.8</v>
      </c>
      <c r="J481" t="n">
        <v>5331</v>
      </c>
      <c r="K481" t="n">
        <v>5316</v>
      </c>
      <c r="L481" t="inlineStr">
        <is>
          <t>L-0720</t>
        </is>
      </c>
      <c r="M481">
        <f>F481-G481</f>
        <v/>
      </c>
      <c r="N481" s="2">
        <f>M481/F481</f>
        <v/>
      </c>
      <c r="O481" s="2">
        <f>I481*J481/60/M481</f>
        <v/>
      </c>
      <c r="P481" s="2">
        <f>K481/J481</f>
        <v/>
      </c>
      <c r="Q481" s="2">
        <f>N481*O481*P481</f>
        <v/>
      </c>
    </row>
    <row r="482">
      <c r="A482" t="inlineStr">
        <is>
          <t>2026-07-21</t>
        </is>
      </c>
      <c r="B482" t="inlineStr">
        <is>
          <t>주간</t>
        </is>
      </c>
      <c r="C482" t="inlineStr">
        <is>
          <t>P1</t>
        </is>
      </c>
      <c r="D482" t="inlineStr">
        <is>
          <t>원료혼합</t>
        </is>
      </c>
      <c r="E482" t="inlineStr">
        <is>
          <t>MX-01</t>
        </is>
      </c>
      <c r="F482" t="n">
        <v>480</v>
      </c>
      <c r="G482" t="n">
        <v>4</v>
      </c>
      <c r="H482" t="inlineStr">
        <is>
          <t>원료 대기</t>
        </is>
      </c>
      <c r="I482" t="n">
        <v>5</v>
      </c>
      <c r="J482" t="n">
        <v>5220</v>
      </c>
      <c r="K482" t="n">
        <v>5190</v>
      </c>
      <c r="L482" t="inlineStr">
        <is>
          <t>L-0720</t>
        </is>
      </c>
      <c r="M482">
        <f>F482-G482</f>
        <v/>
      </c>
      <c r="N482" s="2">
        <f>M482/F482</f>
        <v/>
      </c>
      <c r="O482" s="2">
        <f>I482*J482/60/M482</f>
        <v/>
      </c>
      <c r="P482" s="2">
        <f>K482/J482</f>
        <v/>
      </c>
      <c r="Q482" s="2">
        <f>N482*O482*P482</f>
        <v/>
      </c>
    </row>
    <row r="483">
      <c r="A483" t="inlineStr">
        <is>
          <t>2026-07-21</t>
        </is>
      </c>
      <c r="B483" t="inlineStr">
        <is>
          <t>주간</t>
        </is>
      </c>
      <c r="C483" t="inlineStr">
        <is>
          <t>P1</t>
        </is>
      </c>
      <c r="D483" t="inlineStr">
        <is>
          <t>원료혼합</t>
        </is>
      </c>
      <c r="E483" t="inlineStr">
        <is>
          <t>MX-02</t>
        </is>
      </c>
      <c r="F483" t="n">
        <v>480</v>
      </c>
      <c r="G483" t="n">
        <v>19</v>
      </c>
      <c r="H483" t="inlineStr">
        <is>
          <t>청소</t>
        </is>
      </c>
      <c r="I483" t="n">
        <v>5</v>
      </c>
      <c r="J483" t="n">
        <v>5247</v>
      </c>
      <c r="K483" t="n">
        <v>5222</v>
      </c>
      <c r="L483" t="inlineStr">
        <is>
          <t>L-0720</t>
        </is>
      </c>
      <c r="M483">
        <f>F483-G483</f>
        <v/>
      </c>
      <c r="N483" s="2">
        <f>M483/F483</f>
        <v/>
      </c>
      <c r="O483" s="2">
        <f>I483*J483/60/M483</f>
        <v/>
      </c>
      <c r="P483" s="2">
        <f>K483/J483</f>
        <v/>
      </c>
      <c r="Q483" s="2">
        <f>N483*O483*P483</f>
        <v/>
      </c>
    </row>
    <row r="484">
      <c r="A484" t="inlineStr">
        <is>
          <t>2026-07-21</t>
        </is>
      </c>
      <c r="B484" t="inlineStr">
        <is>
          <t>주간</t>
        </is>
      </c>
      <c r="C484" t="inlineStr">
        <is>
          <t>P2</t>
        </is>
      </c>
      <c r="D484" t="inlineStr">
        <is>
          <t>성형</t>
        </is>
      </c>
      <c r="E484" t="inlineStr">
        <is>
          <t>PR-01</t>
        </is>
      </c>
      <c r="F484" t="n">
        <v>480</v>
      </c>
      <c r="G484" t="n">
        <v>16</v>
      </c>
      <c r="H484" t="inlineStr">
        <is>
          <t>금형 교체</t>
        </is>
      </c>
      <c r="I484" t="n">
        <v>6</v>
      </c>
      <c r="J484" t="n">
        <v>4228</v>
      </c>
      <c r="K484" t="n">
        <v>4183</v>
      </c>
      <c r="L484" t="inlineStr">
        <is>
          <t>L-0720</t>
        </is>
      </c>
      <c r="M484">
        <f>F484-G484</f>
        <v/>
      </c>
      <c r="N484" s="2">
        <f>M484/F484</f>
        <v/>
      </c>
      <c r="O484" s="2">
        <f>I484*J484/60/M484</f>
        <v/>
      </c>
      <c r="P484" s="2">
        <f>K484/J484</f>
        <v/>
      </c>
      <c r="Q484" s="2">
        <f>N484*O484*P484</f>
        <v/>
      </c>
    </row>
    <row r="485">
      <c r="A485" t="inlineStr">
        <is>
          <t>2026-07-21</t>
        </is>
      </c>
      <c r="B485" t="inlineStr">
        <is>
          <t>주간</t>
        </is>
      </c>
      <c r="C485" t="inlineStr">
        <is>
          <t>P2</t>
        </is>
      </c>
      <c r="D485" t="inlineStr">
        <is>
          <t>성형</t>
        </is>
      </c>
      <c r="E485" t="inlineStr">
        <is>
          <t>PR-02</t>
        </is>
      </c>
      <c r="F485" t="n">
        <v>480</v>
      </c>
      <c r="G485" t="n">
        <v>20</v>
      </c>
      <c r="H485" t="inlineStr">
        <is>
          <t>금형 교체</t>
        </is>
      </c>
      <c r="I485" t="n">
        <v>6</v>
      </c>
      <c r="J485" t="n">
        <v>4348</v>
      </c>
      <c r="K485" t="n">
        <v>4296</v>
      </c>
      <c r="L485" t="inlineStr">
        <is>
          <t>L-0720</t>
        </is>
      </c>
      <c r="M485">
        <f>F485-G485</f>
        <v/>
      </c>
      <c r="N485" s="2">
        <f>M485/F485</f>
        <v/>
      </c>
      <c r="O485" s="2">
        <f>I485*J485/60/M485</f>
        <v/>
      </c>
      <c r="P485" s="2">
        <f>K485/J485</f>
        <v/>
      </c>
      <c r="Q485" s="2">
        <f>N485*O485*P485</f>
        <v/>
      </c>
    </row>
    <row r="486">
      <c r="A486" t="inlineStr">
        <is>
          <t>2026-07-21</t>
        </is>
      </c>
      <c r="B486" t="inlineStr">
        <is>
          <t>주간</t>
        </is>
      </c>
      <c r="C486" t="inlineStr">
        <is>
          <t>P3</t>
        </is>
      </c>
      <c r="D486" t="inlineStr">
        <is>
          <t>소결</t>
        </is>
      </c>
      <c r="E486" t="inlineStr">
        <is>
          <t>SF-01</t>
        </is>
      </c>
      <c r="F486" t="n">
        <v>480</v>
      </c>
      <c r="G486" t="n">
        <v>35</v>
      </c>
      <c r="H486" t="inlineStr">
        <is>
          <t>장입 대기</t>
        </is>
      </c>
      <c r="I486" t="n">
        <v>6.5</v>
      </c>
      <c r="J486" t="n">
        <v>3869</v>
      </c>
      <c r="K486" t="n">
        <v>3752</v>
      </c>
      <c r="L486" t="inlineStr">
        <is>
          <t>L-0720</t>
        </is>
      </c>
      <c r="M486">
        <f>F486-G486</f>
        <v/>
      </c>
      <c r="N486" s="2">
        <f>M486/F486</f>
        <v/>
      </c>
      <c r="O486" s="2">
        <f>I486*J486/60/M486</f>
        <v/>
      </c>
      <c r="P486" s="2">
        <f>K486/J486</f>
        <v/>
      </c>
      <c r="Q486" s="2">
        <f>N486*O486*P486</f>
        <v/>
      </c>
    </row>
    <row r="487">
      <c r="A487" t="inlineStr">
        <is>
          <t>2026-07-21</t>
        </is>
      </c>
      <c r="B487" t="inlineStr">
        <is>
          <t>주간</t>
        </is>
      </c>
      <c r="C487" t="inlineStr">
        <is>
          <t>P3</t>
        </is>
      </c>
      <c r="D487" t="inlineStr">
        <is>
          <t>소결</t>
        </is>
      </c>
      <c r="E487" t="inlineStr">
        <is>
          <t>SF-02</t>
        </is>
      </c>
      <c r="F487" t="n">
        <v>480</v>
      </c>
      <c r="G487" t="n">
        <v>33</v>
      </c>
      <c r="H487" t="inlineStr">
        <is>
          <t>승온 대기</t>
        </is>
      </c>
      <c r="I487" t="n">
        <v>6.5</v>
      </c>
      <c r="J487" t="n">
        <v>3832</v>
      </c>
      <c r="K487" t="n">
        <v>3762</v>
      </c>
      <c r="L487" t="inlineStr">
        <is>
          <t>L-0720</t>
        </is>
      </c>
      <c r="M487">
        <f>F487-G487</f>
        <v/>
      </c>
      <c r="N487" s="2">
        <f>M487/F487</f>
        <v/>
      </c>
      <c r="O487" s="2">
        <f>I487*J487/60/M487</f>
        <v/>
      </c>
      <c r="P487" s="2">
        <f>K487/J487</f>
        <v/>
      </c>
      <c r="Q487" s="2">
        <f>N487*O487*P487</f>
        <v/>
      </c>
    </row>
    <row r="488">
      <c r="A488" t="inlineStr">
        <is>
          <t>2026-07-21</t>
        </is>
      </c>
      <c r="B488" t="inlineStr">
        <is>
          <t>주간</t>
        </is>
      </c>
      <c r="C488" t="inlineStr">
        <is>
          <t>P4</t>
        </is>
      </c>
      <c r="D488" t="inlineStr">
        <is>
          <t>연삭</t>
        </is>
      </c>
      <c r="E488" t="inlineStr">
        <is>
          <t>GR-01</t>
        </is>
      </c>
      <c r="F488" t="n">
        <v>480</v>
      </c>
      <c r="G488" t="n">
        <v>76</v>
      </c>
      <c r="H488" t="inlineStr">
        <is>
          <t>공구 교체</t>
        </is>
      </c>
      <c r="I488" t="n">
        <v>6.2</v>
      </c>
      <c r="J488" t="n">
        <v>3701</v>
      </c>
      <c r="K488" t="n">
        <v>3663</v>
      </c>
      <c r="L488" t="inlineStr">
        <is>
          <t>L-0720</t>
        </is>
      </c>
      <c r="M488">
        <f>F488-G488</f>
        <v/>
      </c>
      <c r="N488" s="2">
        <f>M488/F488</f>
        <v/>
      </c>
      <c r="O488" s="2">
        <f>I488*J488/60/M488</f>
        <v/>
      </c>
      <c r="P488" s="2">
        <f>K488/J488</f>
        <v/>
      </c>
      <c r="Q488" s="2">
        <f>N488*O488*P488</f>
        <v/>
      </c>
    </row>
    <row r="489">
      <c r="A489" t="inlineStr">
        <is>
          <t>2026-07-21</t>
        </is>
      </c>
      <c r="B489" t="inlineStr">
        <is>
          <t>주간</t>
        </is>
      </c>
      <c r="C489" t="inlineStr">
        <is>
          <t>P4</t>
        </is>
      </c>
      <c r="D489" t="inlineStr">
        <is>
          <t>연삭</t>
        </is>
      </c>
      <c r="E489" t="inlineStr">
        <is>
          <t>GR-02</t>
        </is>
      </c>
      <c r="F489" t="n">
        <v>480</v>
      </c>
      <c r="G489" t="n">
        <v>54</v>
      </c>
      <c r="H489" t="inlineStr">
        <is>
          <t>공구 교체</t>
        </is>
      </c>
      <c r="I489" t="n">
        <v>6.2</v>
      </c>
      <c r="J489" t="n">
        <v>3767</v>
      </c>
      <c r="K489" t="n">
        <v>3732</v>
      </c>
      <c r="L489" t="inlineStr">
        <is>
          <t>L-0720</t>
        </is>
      </c>
      <c r="M489">
        <f>F489-G489</f>
        <v/>
      </c>
      <c r="N489" s="2">
        <f>M489/F489</f>
        <v/>
      </c>
      <c r="O489" s="2">
        <f>I489*J489/60/M489</f>
        <v/>
      </c>
      <c r="P489" s="2">
        <f>K489/J489</f>
        <v/>
      </c>
      <c r="Q489" s="2">
        <f>N489*O489*P489</f>
        <v/>
      </c>
    </row>
    <row r="490">
      <c r="A490" t="inlineStr">
        <is>
          <t>2026-07-21</t>
        </is>
      </c>
      <c r="B490" t="inlineStr">
        <is>
          <t>주간</t>
        </is>
      </c>
      <c r="C490" t="inlineStr">
        <is>
          <t>P5</t>
        </is>
      </c>
      <c r="D490" t="inlineStr">
        <is>
          <t>검사</t>
        </is>
      </c>
      <c r="E490" t="inlineStr">
        <is>
          <t>IN-01</t>
        </is>
      </c>
      <c r="F490" t="n">
        <v>480</v>
      </c>
      <c r="G490" t="n">
        <v>7</v>
      </c>
      <c r="H490" t="inlineStr">
        <is>
          <t>샘플 재검</t>
        </is>
      </c>
      <c r="I490" t="n">
        <v>5.5</v>
      </c>
      <c r="J490" t="n">
        <v>4698</v>
      </c>
      <c r="K490" t="n">
        <v>4684</v>
      </c>
      <c r="L490" t="inlineStr">
        <is>
          <t>L-0720</t>
        </is>
      </c>
      <c r="M490">
        <f>F490-G490</f>
        <v/>
      </c>
      <c r="N490" s="2">
        <f>M490/F490</f>
        <v/>
      </c>
      <c r="O490" s="2">
        <f>I490*J490/60/M490</f>
        <v/>
      </c>
      <c r="P490" s="2">
        <f>K490/J490</f>
        <v/>
      </c>
      <c r="Q490" s="2">
        <f>N490*O490*P490</f>
        <v/>
      </c>
    </row>
    <row r="491">
      <c r="A491" t="inlineStr">
        <is>
          <t>2026-07-21</t>
        </is>
      </c>
      <c r="B491" t="inlineStr">
        <is>
          <t>주간</t>
        </is>
      </c>
      <c r="C491" t="inlineStr">
        <is>
          <t>P5</t>
        </is>
      </c>
      <c r="D491" t="inlineStr">
        <is>
          <t>검사</t>
        </is>
      </c>
      <c r="E491" t="inlineStr">
        <is>
          <t>IN-02</t>
        </is>
      </c>
      <c r="F491" t="n">
        <v>480</v>
      </c>
      <c r="G491" t="n">
        <v>5</v>
      </c>
      <c r="H491" t="inlineStr">
        <is>
          <t>측정기 교정</t>
        </is>
      </c>
      <c r="I491" t="n">
        <v>5.5</v>
      </c>
      <c r="J491" t="n">
        <v>4651</v>
      </c>
      <c r="K491" t="n">
        <v>4638</v>
      </c>
      <c r="L491" t="inlineStr">
        <is>
          <t>L-0720</t>
        </is>
      </c>
      <c r="M491">
        <f>F491-G491</f>
        <v/>
      </c>
      <c r="N491" s="2">
        <f>M491/F491</f>
        <v/>
      </c>
      <c r="O491" s="2">
        <f>I491*J491/60/M491</f>
        <v/>
      </c>
      <c r="P491" s="2">
        <f>K491/J491</f>
        <v/>
      </c>
      <c r="Q491" s="2">
        <f>N491*O491*P491</f>
        <v/>
      </c>
    </row>
    <row r="492">
      <c r="A492" t="inlineStr">
        <is>
          <t>2026-07-21</t>
        </is>
      </c>
      <c r="B492" t="inlineStr">
        <is>
          <t>주간</t>
        </is>
      </c>
      <c r="C492" t="inlineStr">
        <is>
          <t>P6</t>
        </is>
      </c>
      <c r="D492" t="inlineStr">
        <is>
          <t>포장</t>
        </is>
      </c>
      <c r="E492" t="inlineStr">
        <is>
          <t>PK-01</t>
        </is>
      </c>
      <c r="F492" t="n">
        <v>480</v>
      </c>
      <c r="G492" t="n">
        <v>5</v>
      </c>
      <c r="H492" t="inlineStr">
        <is>
          <t>자재 대기</t>
        </is>
      </c>
      <c r="I492" t="n">
        <v>4.8</v>
      </c>
      <c r="J492" t="n">
        <v>5347</v>
      </c>
      <c r="K492" t="n">
        <v>5336</v>
      </c>
      <c r="L492" t="inlineStr">
        <is>
          <t>L-0720</t>
        </is>
      </c>
      <c r="M492">
        <f>F492-G492</f>
        <v/>
      </c>
      <c r="N492" s="2">
        <f>M492/F492</f>
        <v/>
      </c>
      <c r="O492" s="2">
        <f>I492*J492/60/M492</f>
        <v/>
      </c>
      <c r="P492" s="2">
        <f>K492/J492</f>
        <v/>
      </c>
      <c r="Q492" s="2">
        <f>N492*O492*P492</f>
        <v/>
      </c>
    </row>
    <row r="493">
      <c r="A493" t="inlineStr">
        <is>
          <t>2026-07-21</t>
        </is>
      </c>
      <c r="B493" t="inlineStr">
        <is>
          <t>주간</t>
        </is>
      </c>
      <c r="C493" t="inlineStr">
        <is>
          <t>P6</t>
        </is>
      </c>
      <c r="D493" t="inlineStr">
        <is>
          <t>포장</t>
        </is>
      </c>
      <c r="E493" t="inlineStr">
        <is>
          <t>PK-02</t>
        </is>
      </c>
      <c r="F493" t="n">
        <v>480</v>
      </c>
      <c r="G493" t="n">
        <v>47</v>
      </c>
      <c r="H493" t="inlineStr">
        <is>
          <t>자재 대기</t>
        </is>
      </c>
      <c r="I493" t="n">
        <v>4.8</v>
      </c>
      <c r="J493" t="n">
        <v>4894</v>
      </c>
      <c r="K493" t="n">
        <v>4884</v>
      </c>
      <c r="L493" t="inlineStr">
        <is>
          <t>L-0720</t>
        </is>
      </c>
      <c r="M493">
        <f>F493-G493</f>
        <v/>
      </c>
      <c r="N493" s="2">
        <f>M493/F493</f>
        <v/>
      </c>
      <c r="O493" s="2">
        <f>I493*J493/60/M493</f>
        <v/>
      </c>
      <c r="P493" s="2">
        <f>K493/J493</f>
        <v/>
      </c>
      <c r="Q493" s="2">
        <f>N493*O493*P493</f>
        <v/>
      </c>
    </row>
    <row r="494">
      <c r="A494" t="inlineStr">
        <is>
          <t>2026-07-21</t>
        </is>
      </c>
      <c r="B494" t="inlineStr">
        <is>
          <t>야간</t>
        </is>
      </c>
      <c r="C494" t="inlineStr">
        <is>
          <t>P1</t>
        </is>
      </c>
      <c r="D494" t="inlineStr">
        <is>
          <t>원료혼합</t>
        </is>
      </c>
      <c r="E494" t="inlineStr">
        <is>
          <t>MX-01</t>
        </is>
      </c>
      <c r="F494" t="n">
        <v>480</v>
      </c>
      <c r="G494" t="n">
        <v>16</v>
      </c>
      <c r="H494" t="inlineStr">
        <is>
          <t>원료 대기</t>
        </is>
      </c>
      <c r="I494" t="n">
        <v>5</v>
      </c>
      <c r="J494" t="n">
        <v>5342</v>
      </c>
      <c r="K494" t="n">
        <v>5302</v>
      </c>
      <c r="L494" t="inlineStr">
        <is>
          <t>L-0720</t>
        </is>
      </c>
      <c r="M494">
        <f>F494-G494</f>
        <v/>
      </c>
      <c r="N494" s="2">
        <f>M494/F494</f>
        <v/>
      </c>
      <c r="O494" s="2">
        <f>I494*J494/60/M494</f>
        <v/>
      </c>
      <c r="P494" s="2">
        <f>K494/J494</f>
        <v/>
      </c>
      <c r="Q494" s="2">
        <f>N494*O494*P494</f>
        <v/>
      </c>
    </row>
    <row r="495">
      <c r="A495" t="inlineStr">
        <is>
          <t>2026-07-21</t>
        </is>
      </c>
      <c r="B495" t="inlineStr">
        <is>
          <t>야간</t>
        </is>
      </c>
      <c r="C495" t="inlineStr">
        <is>
          <t>P1</t>
        </is>
      </c>
      <c r="D495" t="inlineStr">
        <is>
          <t>원료혼합</t>
        </is>
      </c>
      <c r="E495" t="inlineStr">
        <is>
          <t>MX-02</t>
        </is>
      </c>
      <c r="F495" t="n">
        <v>480</v>
      </c>
      <c r="G495" t="n">
        <v>43</v>
      </c>
      <c r="H495" t="inlineStr">
        <is>
          <t>원료 대기</t>
        </is>
      </c>
      <c r="I495" t="n">
        <v>5</v>
      </c>
      <c r="J495" t="n">
        <v>4803</v>
      </c>
      <c r="K495" t="n">
        <v>4771</v>
      </c>
      <c r="L495" t="inlineStr">
        <is>
          <t>L-0720</t>
        </is>
      </c>
      <c r="M495">
        <f>F495-G495</f>
        <v/>
      </c>
      <c r="N495" s="2">
        <f>M495/F495</f>
        <v/>
      </c>
      <c r="O495" s="2">
        <f>I495*J495/60/M495</f>
        <v/>
      </c>
      <c r="P495" s="2">
        <f>K495/J495</f>
        <v/>
      </c>
      <c r="Q495" s="2">
        <f>N495*O495*P495</f>
        <v/>
      </c>
    </row>
    <row r="496">
      <c r="A496" t="inlineStr">
        <is>
          <t>2026-07-21</t>
        </is>
      </c>
      <c r="B496" t="inlineStr">
        <is>
          <t>야간</t>
        </is>
      </c>
      <c r="C496" t="inlineStr">
        <is>
          <t>P2</t>
        </is>
      </c>
      <c r="D496" t="inlineStr">
        <is>
          <t>성형</t>
        </is>
      </c>
      <c r="E496" t="inlineStr">
        <is>
          <t>PR-01</t>
        </is>
      </c>
      <c r="F496" t="n">
        <v>480</v>
      </c>
      <c r="G496" t="n">
        <v>15</v>
      </c>
      <c r="H496" t="inlineStr">
        <is>
          <t>압력 이상</t>
        </is>
      </c>
      <c r="I496" t="n">
        <v>6</v>
      </c>
      <c r="J496" t="n">
        <v>4575</v>
      </c>
      <c r="K496" t="n">
        <v>4524</v>
      </c>
      <c r="L496" t="inlineStr">
        <is>
          <t>L-0720</t>
        </is>
      </c>
      <c r="M496">
        <f>F496-G496</f>
        <v/>
      </c>
      <c r="N496" s="2">
        <f>M496/F496</f>
        <v/>
      </c>
      <c r="O496" s="2">
        <f>I496*J496/60/M496</f>
        <v/>
      </c>
      <c r="P496" s="2">
        <f>K496/J496</f>
        <v/>
      </c>
      <c r="Q496" s="2">
        <f>N496*O496*P496</f>
        <v/>
      </c>
    </row>
    <row r="497">
      <c r="A497" t="inlineStr">
        <is>
          <t>2026-07-21</t>
        </is>
      </c>
      <c r="B497" t="inlineStr">
        <is>
          <t>야간</t>
        </is>
      </c>
      <c r="C497" t="inlineStr">
        <is>
          <t>P2</t>
        </is>
      </c>
      <c r="D497" t="inlineStr">
        <is>
          <t>성형</t>
        </is>
      </c>
      <c r="E497" t="inlineStr">
        <is>
          <t>PR-02</t>
        </is>
      </c>
      <c r="F497" t="n">
        <v>480</v>
      </c>
      <c r="G497" t="n">
        <v>36</v>
      </c>
      <c r="H497" t="inlineStr">
        <is>
          <t>분말 공급 지연</t>
        </is>
      </c>
      <c r="I497" t="n">
        <v>6</v>
      </c>
      <c r="J497" t="n">
        <v>4174</v>
      </c>
      <c r="K497" t="n">
        <v>4132</v>
      </c>
      <c r="L497" t="inlineStr">
        <is>
          <t>L-0720</t>
        </is>
      </c>
      <c r="M497">
        <f>F497-G497</f>
        <v/>
      </c>
      <c r="N497" s="2">
        <f>M497/F497</f>
        <v/>
      </c>
      <c r="O497" s="2">
        <f>I497*J497/60/M497</f>
        <v/>
      </c>
      <c r="P497" s="2">
        <f>K497/J497</f>
        <v/>
      </c>
      <c r="Q497" s="2">
        <f>N497*O497*P497</f>
        <v/>
      </c>
    </row>
    <row r="498">
      <c r="A498" t="inlineStr">
        <is>
          <t>2026-07-21</t>
        </is>
      </c>
      <c r="B498" t="inlineStr">
        <is>
          <t>야간</t>
        </is>
      </c>
      <c r="C498" t="inlineStr">
        <is>
          <t>P3</t>
        </is>
      </c>
      <c r="D498" t="inlineStr">
        <is>
          <t>소결</t>
        </is>
      </c>
      <c r="E498" t="inlineStr">
        <is>
          <t>SF-01</t>
        </is>
      </c>
      <c r="F498" t="n">
        <v>480</v>
      </c>
      <c r="G498" t="n">
        <v>60</v>
      </c>
      <c r="H498" t="inlineStr">
        <is>
          <t>온도 이상 정지</t>
        </is>
      </c>
      <c r="I498" t="n">
        <v>6.5</v>
      </c>
      <c r="J498" t="n">
        <v>3562</v>
      </c>
      <c r="K498" t="n">
        <v>3488</v>
      </c>
      <c r="L498" t="inlineStr">
        <is>
          <t>L-0720</t>
        </is>
      </c>
      <c r="M498">
        <f>F498-G498</f>
        <v/>
      </c>
      <c r="N498" s="2">
        <f>M498/F498</f>
        <v/>
      </c>
      <c r="O498" s="2">
        <f>I498*J498/60/M498</f>
        <v/>
      </c>
      <c r="P498" s="2">
        <f>K498/J498</f>
        <v/>
      </c>
      <c r="Q498" s="2">
        <f>N498*O498*P498</f>
        <v/>
      </c>
    </row>
    <row r="499">
      <c r="A499" t="inlineStr">
        <is>
          <t>2026-07-21</t>
        </is>
      </c>
      <c r="B499" t="inlineStr">
        <is>
          <t>야간</t>
        </is>
      </c>
      <c r="C499" t="inlineStr">
        <is>
          <t>P3</t>
        </is>
      </c>
      <c r="D499" t="inlineStr">
        <is>
          <t>소결</t>
        </is>
      </c>
      <c r="E499" t="inlineStr">
        <is>
          <t>SF-02</t>
        </is>
      </c>
      <c r="F499" t="n">
        <v>480</v>
      </c>
      <c r="G499" t="n">
        <v>23</v>
      </c>
      <c r="H499" t="inlineStr">
        <is>
          <t>장입 대기</t>
        </is>
      </c>
      <c r="I499" t="n">
        <v>6.5</v>
      </c>
      <c r="J499" t="n">
        <v>3927</v>
      </c>
      <c r="K499" t="n">
        <v>3857</v>
      </c>
      <c r="L499" t="inlineStr">
        <is>
          <t>L-0720</t>
        </is>
      </c>
      <c r="M499">
        <f>F499-G499</f>
        <v/>
      </c>
      <c r="N499" s="2">
        <f>M499/F499</f>
        <v/>
      </c>
      <c r="O499" s="2">
        <f>I499*J499/60/M499</f>
        <v/>
      </c>
      <c r="P499" s="2">
        <f>K499/J499</f>
        <v/>
      </c>
      <c r="Q499" s="2">
        <f>N499*O499*P499</f>
        <v/>
      </c>
    </row>
    <row r="500">
      <c r="A500" t="inlineStr">
        <is>
          <t>2026-07-21</t>
        </is>
      </c>
      <c r="B500" t="inlineStr">
        <is>
          <t>야간</t>
        </is>
      </c>
      <c r="C500" t="inlineStr">
        <is>
          <t>P4</t>
        </is>
      </c>
      <c r="D500" t="inlineStr">
        <is>
          <t>연삭</t>
        </is>
      </c>
      <c r="E500" t="inlineStr">
        <is>
          <t>GR-01</t>
        </is>
      </c>
      <c r="F500" t="n">
        <v>480</v>
      </c>
      <c r="G500" t="n">
        <v>51</v>
      </c>
      <c r="H500" t="inlineStr">
        <is>
          <t>공구 교체</t>
        </is>
      </c>
      <c r="I500" t="n">
        <v>6.2</v>
      </c>
      <c r="J500" t="n">
        <v>3786</v>
      </c>
      <c r="K500" t="n">
        <v>3747</v>
      </c>
      <c r="L500" t="inlineStr">
        <is>
          <t>L-0720</t>
        </is>
      </c>
      <c r="M500">
        <f>F500-G500</f>
        <v/>
      </c>
      <c r="N500" s="2">
        <f>M500/F500</f>
        <v/>
      </c>
      <c r="O500" s="2">
        <f>I500*J500/60/M500</f>
        <v/>
      </c>
      <c r="P500" s="2">
        <f>K500/J500</f>
        <v/>
      </c>
      <c r="Q500" s="2">
        <f>N500*O500*P500</f>
        <v/>
      </c>
    </row>
    <row r="501">
      <c r="A501" t="inlineStr">
        <is>
          <t>2026-07-21</t>
        </is>
      </c>
      <c r="B501" t="inlineStr">
        <is>
          <t>야간</t>
        </is>
      </c>
      <c r="C501" t="inlineStr">
        <is>
          <t>P4</t>
        </is>
      </c>
      <c r="D501" t="inlineStr">
        <is>
          <t>연삭</t>
        </is>
      </c>
      <c r="E501" t="inlineStr">
        <is>
          <t>GR-02</t>
        </is>
      </c>
      <c r="F501" t="n">
        <v>480</v>
      </c>
      <c r="G501" t="n">
        <v>42</v>
      </c>
      <c r="H501" t="inlineStr">
        <is>
          <t>공구 교체</t>
        </is>
      </c>
      <c r="I501" t="n">
        <v>6.2</v>
      </c>
      <c r="J501" t="n">
        <v>3630</v>
      </c>
      <c r="K501" t="n">
        <v>3599</v>
      </c>
      <c r="L501" t="inlineStr">
        <is>
          <t>L-0720</t>
        </is>
      </c>
      <c r="M501">
        <f>F501-G501</f>
        <v/>
      </c>
      <c r="N501" s="2">
        <f>M501/F501</f>
        <v/>
      </c>
      <c r="O501" s="2">
        <f>I501*J501/60/M501</f>
        <v/>
      </c>
      <c r="P501" s="2">
        <f>K501/J501</f>
        <v/>
      </c>
      <c r="Q501" s="2">
        <f>N501*O501*P501</f>
        <v/>
      </c>
    </row>
    <row r="502">
      <c r="A502" t="inlineStr">
        <is>
          <t>2026-07-21</t>
        </is>
      </c>
      <c r="B502" t="inlineStr">
        <is>
          <t>야간</t>
        </is>
      </c>
      <c r="C502" t="inlineStr">
        <is>
          <t>P5</t>
        </is>
      </c>
      <c r="D502" t="inlineStr">
        <is>
          <t>검사</t>
        </is>
      </c>
      <c r="E502" t="inlineStr">
        <is>
          <t>IN-01</t>
        </is>
      </c>
      <c r="F502" t="n">
        <v>480</v>
      </c>
      <c r="G502" t="n">
        <v>20</v>
      </c>
      <c r="H502" t="inlineStr">
        <is>
          <t>샘플 재검</t>
        </is>
      </c>
      <c r="I502" t="n">
        <v>5.5</v>
      </c>
      <c r="J502" t="n">
        <v>4526</v>
      </c>
      <c r="K502" t="n">
        <v>4506</v>
      </c>
      <c r="L502" t="inlineStr">
        <is>
          <t>L-0720</t>
        </is>
      </c>
      <c r="M502">
        <f>F502-G502</f>
        <v/>
      </c>
      <c r="N502" s="2">
        <f>M502/F502</f>
        <v/>
      </c>
      <c r="O502" s="2">
        <f>I502*J502/60/M502</f>
        <v/>
      </c>
      <c r="P502" s="2">
        <f>K502/J502</f>
        <v/>
      </c>
      <c r="Q502" s="2">
        <f>N502*O502*P502</f>
        <v/>
      </c>
    </row>
    <row r="503">
      <c r="A503" t="inlineStr">
        <is>
          <t>2026-07-21</t>
        </is>
      </c>
      <c r="B503" t="inlineStr">
        <is>
          <t>야간</t>
        </is>
      </c>
      <c r="C503" t="inlineStr">
        <is>
          <t>P5</t>
        </is>
      </c>
      <c r="D503" t="inlineStr">
        <is>
          <t>검사</t>
        </is>
      </c>
      <c r="E503" t="inlineStr">
        <is>
          <t>IN-02</t>
        </is>
      </c>
      <c r="F503" t="n">
        <v>480</v>
      </c>
      <c r="G503" t="n">
        <v>5</v>
      </c>
      <c r="H503" t="inlineStr">
        <is>
          <t>측정기 교정</t>
        </is>
      </c>
      <c r="I503" t="n">
        <v>5.5</v>
      </c>
      <c r="J503" t="n">
        <v>4884</v>
      </c>
      <c r="K503" t="n">
        <v>4865</v>
      </c>
      <c r="L503" t="inlineStr">
        <is>
          <t>L-0720</t>
        </is>
      </c>
      <c r="M503">
        <f>F503-G503</f>
        <v/>
      </c>
      <c r="N503" s="2">
        <f>M503/F503</f>
        <v/>
      </c>
      <c r="O503" s="2">
        <f>I503*J503/60/M503</f>
        <v/>
      </c>
      <c r="P503" s="2">
        <f>K503/J503</f>
        <v/>
      </c>
      <c r="Q503" s="2">
        <f>N503*O503*P503</f>
        <v/>
      </c>
    </row>
    <row r="504">
      <c r="A504" t="inlineStr">
        <is>
          <t>2026-07-21</t>
        </is>
      </c>
      <c r="B504" t="inlineStr">
        <is>
          <t>야간</t>
        </is>
      </c>
      <c r="C504" t="inlineStr">
        <is>
          <t>P6</t>
        </is>
      </c>
      <c r="D504" t="inlineStr">
        <is>
          <t>포장</t>
        </is>
      </c>
      <c r="E504" t="inlineStr">
        <is>
          <t>PK-01</t>
        </is>
      </c>
      <c r="F504" t="n">
        <v>480</v>
      </c>
      <c r="G504" t="n">
        <v>31</v>
      </c>
      <c r="H504" t="inlineStr">
        <is>
          <t>자재 대기</t>
        </is>
      </c>
      <c r="I504" t="n">
        <v>4.8</v>
      </c>
      <c r="J504" t="n">
        <v>5297</v>
      </c>
      <c r="K504" t="n">
        <v>5278</v>
      </c>
      <c r="L504" t="inlineStr">
        <is>
          <t>L-0720</t>
        </is>
      </c>
      <c r="M504">
        <f>F504-G504</f>
        <v/>
      </c>
      <c r="N504" s="2">
        <f>M504/F504</f>
        <v/>
      </c>
      <c r="O504" s="2">
        <f>I504*J504/60/M504</f>
        <v/>
      </c>
      <c r="P504" s="2">
        <f>K504/J504</f>
        <v/>
      </c>
      <c r="Q504" s="2">
        <f>N504*O504*P504</f>
        <v/>
      </c>
    </row>
    <row r="505">
      <c r="A505" t="inlineStr">
        <is>
          <t>2026-07-21</t>
        </is>
      </c>
      <c r="B505" t="inlineStr">
        <is>
          <t>야간</t>
        </is>
      </c>
      <c r="C505" t="inlineStr">
        <is>
          <t>P6</t>
        </is>
      </c>
      <c r="D505" t="inlineStr">
        <is>
          <t>포장</t>
        </is>
      </c>
      <c r="E505" t="inlineStr">
        <is>
          <t>PK-02</t>
        </is>
      </c>
      <c r="F505" t="n">
        <v>480</v>
      </c>
      <c r="G505" t="n">
        <v>18</v>
      </c>
      <c r="H505" t="inlineStr">
        <is>
          <t>라벨 교체</t>
        </is>
      </c>
      <c r="I505" t="n">
        <v>4.8</v>
      </c>
      <c r="J505" t="n">
        <v>5359</v>
      </c>
      <c r="K505" t="n">
        <v>5346</v>
      </c>
      <c r="L505" t="inlineStr">
        <is>
          <t>L-0720</t>
        </is>
      </c>
      <c r="M505">
        <f>F505-G505</f>
        <v/>
      </c>
      <c r="N505" s="2">
        <f>M505/F505</f>
        <v/>
      </c>
      <c r="O505" s="2">
        <f>I505*J505/60/M505</f>
        <v/>
      </c>
      <c r="P505" s="2">
        <f>K505/J505</f>
        <v/>
      </c>
      <c r="Q505" s="2">
        <f>N505*O505*P505</f>
        <v/>
      </c>
    </row>
    <row r="506">
      <c r="A506" t="inlineStr">
        <is>
          <t>2026-07-22</t>
        </is>
      </c>
      <c r="B506" t="inlineStr">
        <is>
          <t>주간</t>
        </is>
      </c>
      <c r="C506" t="inlineStr">
        <is>
          <t>P1</t>
        </is>
      </c>
      <c r="D506" t="inlineStr">
        <is>
          <t>원료혼합</t>
        </is>
      </c>
      <c r="E506" t="inlineStr">
        <is>
          <t>MX-01</t>
        </is>
      </c>
      <c r="F506" t="n">
        <v>480</v>
      </c>
      <c r="G506" t="n">
        <v>26</v>
      </c>
      <c r="H506" t="inlineStr">
        <is>
          <t>청소</t>
        </is>
      </c>
      <c r="I506" t="n">
        <v>5</v>
      </c>
      <c r="J506" t="n">
        <v>4729</v>
      </c>
      <c r="K506" t="n">
        <v>4701</v>
      </c>
      <c r="L506" t="inlineStr">
        <is>
          <t>L-0720</t>
        </is>
      </c>
      <c r="M506">
        <f>F506-G506</f>
        <v/>
      </c>
      <c r="N506" s="2">
        <f>M506/F506</f>
        <v/>
      </c>
      <c r="O506" s="2">
        <f>I506*J506/60/M506</f>
        <v/>
      </c>
      <c r="P506" s="2">
        <f>K506/J506</f>
        <v/>
      </c>
      <c r="Q506" s="2">
        <f>N506*O506*P506</f>
        <v/>
      </c>
    </row>
    <row r="507">
      <c r="A507" t="inlineStr">
        <is>
          <t>2026-07-22</t>
        </is>
      </c>
      <c r="B507" t="inlineStr">
        <is>
          <t>주간</t>
        </is>
      </c>
      <c r="C507" t="inlineStr">
        <is>
          <t>P1</t>
        </is>
      </c>
      <c r="D507" t="inlineStr">
        <is>
          <t>원료혼합</t>
        </is>
      </c>
      <c r="E507" t="inlineStr">
        <is>
          <t>MX-02</t>
        </is>
      </c>
      <c r="F507" t="n">
        <v>480</v>
      </c>
      <c r="G507" t="n">
        <v>18</v>
      </c>
      <c r="H507" t="inlineStr">
        <is>
          <t>원료 대기</t>
        </is>
      </c>
      <c r="I507" t="n">
        <v>5</v>
      </c>
      <c r="J507" t="n">
        <v>5268</v>
      </c>
      <c r="K507" t="n">
        <v>5240</v>
      </c>
      <c r="L507" t="inlineStr">
        <is>
          <t>L-0720</t>
        </is>
      </c>
      <c r="M507">
        <f>F507-G507</f>
        <v/>
      </c>
      <c r="N507" s="2">
        <f>M507/F507</f>
        <v/>
      </c>
      <c r="O507" s="2">
        <f>I507*J507/60/M507</f>
        <v/>
      </c>
      <c r="P507" s="2">
        <f>K507/J507</f>
        <v/>
      </c>
      <c r="Q507" s="2">
        <f>N507*O507*P507</f>
        <v/>
      </c>
    </row>
    <row r="508">
      <c r="A508" t="inlineStr">
        <is>
          <t>2026-07-22</t>
        </is>
      </c>
      <c r="B508" t="inlineStr">
        <is>
          <t>주간</t>
        </is>
      </c>
      <c r="C508" t="inlineStr">
        <is>
          <t>P2</t>
        </is>
      </c>
      <c r="D508" t="inlineStr">
        <is>
          <t>성형</t>
        </is>
      </c>
      <c r="E508" t="inlineStr">
        <is>
          <t>PR-01</t>
        </is>
      </c>
      <c r="F508" t="n">
        <v>480</v>
      </c>
      <c r="G508" t="n">
        <v>29</v>
      </c>
      <c r="H508" t="inlineStr">
        <is>
          <t>분말 공급 지연</t>
        </is>
      </c>
      <c r="I508" t="n">
        <v>6</v>
      </c>
      <c r="J508" t="n">
        <v>4054</v>
      </c>
      <c r="K508" t="n">
        <v>4018</v>
      </c>
      <c r="L508" t="inlineStr">
        <is>
          <t>L-0720</t>
        </is>
      </c>
      <c r="M508">
        <f>F508-G508</f>
        <v/>
      </c>
      <c r="N508" s="2">
        <f>M508/F508</f>
        <v/>
      </c>
      <c r="O508" s="2">
        <f>I508*J508/60/M508</f>
        <v/>
      </c>
      <c r="P508" s="2">
        <f>K508/J508</f>
        <v/>
      </c>
      <c r="Q508" s="2">
        <f>N508*O508*P508</f>
        <v/>
      </c>
    </row>
    <row r="509">
      <c r="A509" t="inlineStr">
        <is>
          <t>2026-07-22</t>
        </is>
      </c>
      <c r="B509" t="inlineStr">
        <is>
          <t>주간</t>
        </is>
      </c>
      <c r="C509" t="inlineStr">
        <is>
          <t>P2</t>
        </is>
      </c>
      <c r="D509" t="inlineStr">
        <is>
          <t>성형</t>
        </is>
      </c>
      <c r="E509" t="inlineStr">
        <is>
          <t>PR-02</t>
        </is>
      </c>
      <c r="F509" t="n">
        <v>480</v>
      </c>
      <c r="G509" t="n">
        <v>24</v>
      </c>
      <c r="H509" t="inlineStr">
        <is>
          <t>압력 이상</t>
        </is>
      </c>
      <c r="I509" t="n">
        <v>6</v>
      </c>
      <c r="J509" t="n">
        <v>4233</v>
      </c>
      <c r="K509" t="n">
        <v>4194</v>
      </c>
      <c r="L509" t="inlineStr">
        <is>
          <t>L-0720</t>
        </is>
      </c>
      <c r="M509">
        <f>F509-G509</f>
        <v/>
      </c>
      <c r="N509" s="2">
        <f>M509/F509</f>
        <v/>
      </c>
      <c r="O509" s="2">
        <f>I509*J509/60/M509</f>
        <v/>
      </c>
      <c r="P509" s="2">
        <f>K509/J509</f>
        <v/>
      </c>
      <c r="Q509" s="2">
        <f>N509*O509*P509</f>
        <v/>
      </c>
    </row>
    <row r="510">
      <c r="A510" t="inlineStr">
        <is>
          <t>2026-07-22</t>
        </is>
      </c>
      <c r="B510" t="inlineStr">
        <is>
          <t>주간</t>
        </is>
      </c>
      <c r="C510" t="inlineStr">
        <is>
          <t>P3</t>
        </is>
      </c>
      <c r="D510" t="inlineStr">
        <is>
          <t>소결</t>
        </is>
      </c>
      <c r="E510" t="inlineStr">
        <is>
          <t>SF-01</t>
        </is>
      </c>
      <c r="F510" t="n">
        <v>480</v>
      </c>
      <c r="G510" t="n">
        <v>54</v>
      </c>
      <c r="H510" t="inlineStr">
        <is>
          <t>온도 이상 정지</t>
        </is>
      </c>
      <c r="I510" t="n">
        <v>6.5</v>
      </c>
      <c r="J510" t="n">
        <v>3625</v>
      </c>
      <c r="K510" t="n">
        <v>3554</v>
      </c>
      <c r="L510" t="inlineStr">
        <is>
          <t>L-0720</t>
        </is>
      </c>
      <c r="M510">
        <f>F510-G510</f>
        <v/>
      </c>
      <c r="N510" s="2">
        <f>M510/F510</f>
        <v/>
      </c>
      <c r="O510" s="2">
        <f>I510*J510/60/M510</f>
        <v/>
      </c>
      <c r="P510" s="2">
        <f>K510/J510</f>
        <v/>
      </c>
      <c r="Q510" s="2">
        <f>N510*O510*P510</f>
        <v/>
      </c>
    </row>
    <row r="511">
      <c r="A511" t="inlineStr">
        <is>
          <t>2026-07-22</t>
        </is>
      </c>
      <c r="B511" t="inlineStr">
        <is>
          <t>주간</t>
        </is>
      </c>
      <c r="C511" t="inlineStr">
        <is>
          <t>P3</t>
        </is>
      </c>
      <c r="D511" t="inlineStr">
        <is>
          <t>소결</t>
        </is>
      </c>
      <c r="E511" t="inlineStr">
        <is>
          <t>SF-02</t>
        </is>
      </c>
      <c r="F511" t="n">
        <v>480</v>
      </c>
      <c r="G511" t="n">
        <v>51</v>
      </c>
      <c r="H511" t="inlineStr">
        <is>
          <t>장입 대기</t>
        </is>
      </c>
      <c r="I511" t="n">
        <v>6.5</v>
      </c>
      <c r="J511" t="n">
        <v>3541</v>
      </c>
      <c r="K511" t="n">
        <v>3478</v>
      </c>
      <c r="L511" t="inlineStr">
        <is>
          <t>L-0720</t>
        </is>
      </c>
      <c r="M511">
        <f>F511-G511</f>
        <v/>
      </c>
      <c r="N511" s="2">
        <f>M511/F511</f>
        <v/>
      </c>
      <c r="O511" s="2">
        <f>I511*J511/60/M511</f>
        <v/>
      </c>
      <c r="P511" s="2">
        <f>K511/J511</f>
        <v/>
      </c>
      <c r="Q511" s="2">
        <f>N511*O511*P511</f>
        <v/>
      </c>
    </row>
    <row r="512">
      <c r="A512" t="inlineStr">
        <is>
          <t>2026-07-22</t>
        </is>
      </c>
      <c r="B512" t="inlineStr">
        <is>
          <t>주간</t>
        </is>
      </c>
      <c r="C512" t="inlineStr">
        <is>
          <t>P4</t>
        </is>
      </c>
      <c r="D512" t="inlineStr">
        <is>
          <t>연삭</t>
        </is>
      </c>
      <c r="E512" t="inlineStr">
        <is>
          <t>GR-01</t>
        </is>
      </c>
      <c r="F512" t="n">
        <v>480</v>
      </c>
      <c r="G512" t="n">
        <v>49</v>
      </c>
      <c r="H512" t="inlineStr">
        <is>
          <t>드레싱</t>
        </is>
      </c>
      <c r="I512" t="n">
        <v>6.2</v>
      </c>
      <c r="J512" t="n">
        <v>3709</v>
      </c>
      <c r="K512" t="n">
        <v>3673</v>
      </c>
      <c r="L512" t="inlineStr">
        <is>
          <t>L-0720</t>
        </is>
      </c>
      <c r="M512">
        <f>F512-G512</f>
        <v/>
      </c>
      <c r="N512" s="2">
        <f>M512/F512</f>
        <v/>
      </c>
      <c r="O512" s="2">
        <f>I512*J512/60/M512</f>
        <v/>
      </c>
      <c r="P512" s="2">
        <f>K512/J512</f>
        <v/>
      </c>
      <c r="Q512" s="2">
        <f>N512*O512*P512</f>
        <v/>
      </c>
    </row>
    <row r="513">
      <c r="A513" t="inlineStr">
        <is>
          <t>2026-07-22</t>
        </is>
      </c>
      <c r="B513" t="inlineStr">
        <is>
          <t>주간</t>
        </is>
      </c>
      <c r="C513" t="inlineStr">
        <is>
          <t>P4</t>
        </is>
      </c>
      <c r="D513" t="inlineStr">
        <is>
          <t>연삭</t>
        </is>
      </c>
      <c r="E513" t="inlineStr">
        <is>
          <t>GR-02</t>
        </is>
      </c>
      <c r="F513" t="n">
        <v>480</v>
      </c>
      <c r="G513" t="n">
        <v>102</v>
      </c>
      <c r="H513" t="inlineStr">
        <is>
          <t>공구 교체</t>
        </is>
      </c>
      <c r="I513" t="n">
        <v>6.2</v>
      </c>
      <c r="J513" t="n">
        <v>3181</v>
      </c>
      <c r="K513" t="n">
        <v>3156</v>
      </c>
      <c r="L513" t="inlineStr">
        <is>
          <t>L-0720</t>
        </is>
      </c>
      <c r="M513">
        <f>F513-G513</f>
        <v/>
      </c>
      <c r="N513" s="2">
        <f>M513/F513</f>
        <v/>
      </c>
      <c r="O513" s="2">
        <f>I513*J513/60/M513</f>
        <v/>
      </c>
      <c r="P513" s="2">
        <f>K513/J513</f>
        <v/>
      </c>
      <c r="Q513" s="2">
        <f>N513*O513*P513</f>
        <v/>
      </c>
    </row>
    <row r="514">
      <c r="A514" t="inlineStr">
        <is>
          <t>2026-07-22</t>
        </is>
      </c>
      <c r="B514" t="inlineStr">
        <is>
          <t>주간</t>
        </is>
      </c>
      <c r="C514" t="inlineStr">
        <is>
          <t>P5</t>
        </is>
      </c>
      <c r="D514" t="inlineStr">
        <is>
          <t>검사</t>
        </is>
      </c>
      <c r="E514" t="inlineStr">
        <is>
          <t>IN-01</t>
        </is>
      </c>
      <c r="F514" t="n">
        <v>480</v>
      </c>
      <c r="G514" t="n">
        <v>18</v>
      </c>
      <c r="H514" t="inlineStr">
        <is>
          <t>측정기 교정</t>
        </is>
      </c>
      <c r="I514" t="n">
        <v>5.5</v>
      </c>
      <c r="J514" t="n">
        <v>4777</v>
      </c>
      <c r="K514" t="n">
        <v>4762</v>
      </c>
      <c r="L514" t="inlineStr">
        <is>
          <t>L-0720</t>
        </is>
      </c>
      <c r="M514">
        <f>F514-G514</f>
        <v/>
      </c>
      <c r="N514" s="2">
        <f>M514/F514</f>
        <v/>
      </c>
      <c r="O514" s="2">
        <f>I514*J514/60/M514</f>
        <v/>
      </c>
      <c r="P514" s="2">
        <f>K514/J514</f>
        <v/>
      </c>
      <c r="Q514" s="2">
        <f>N514*O514*P514</f>
        <v/>
      </c>
    </row>
    <row r="515">
      <c r="A515" t="inlineStr">
        <is>
          <t>2026-07-22</t>
        </is>
      </c>
      <c r="B515" t="inlineStr">
        <is>
          <t>주간</t>
        </is>
      </c>
      <c r="C515" t="inlineStr">
        <is>
          <t>P5</t>
        </is>
      </c>
      <c r="D515" t="inlineStr">
        <is>
          <t>검사</t>
        </is>
      </c>
      <c r="E515" t="inlineStr">
        <is>
          <t>IN-02</t>
        </is>
      </c>
      <c r="F515" t="n">
        <v>480</v>
      </c>
      <c r="G515" t="n">
        <v>28</v>
      </c>
      <c r="H515" t="inlineStr">
        <is>
          <t>측정기 교정</t>
        </is>
      </c>
      <c r="I515" t="n">
        <v>5.5</v>
      </c>
      <c r="J515" t="n">
        <v>4475</v>
      </c>
      <c r="K515" t="n">
        <v>4464</v>
      </c>
      <c r="L515" t="inlineStr">
        <is>
          <t>L-0720</t>
        </is>
      </c>
      <c r="M515">
        <f>F515-G515</f>
        <v/>
      </c>
      <c r="N515" s="2">
        <f>M515/F515</f>
        <v/>
      </c>
      <c r="O515" s="2">
        <f>I515*J515/60/M515</f>
        <v/>
      </c>
      <c r="P515" s="2">
        <f>K515/J515</f>
        <v/>
      </c>
      <c r="Q515" s="2">
        <f>N515*O515*P515</f>
        <v/>
      </c>
    </row>
    <row r="516">
      <c r="A516" t="inlineStr">
        <is>
          <t>2026-07-22</t>
        </is>
      </c>
      <c r="B516" t="inlineStr">
        <is>
          <t>주간</t>
        </is>
      </c>
      <c r="C516" t="inlineStr">
        <is>
          <t>P6</t>
        </is>
      </c>
      <c r="D516" t="inlineStr">
        <is>
          <t>포장</t>
        </is>
      </c>
      <c r="E516" t="inlineStr">
        <is>
          <t>PK-01</t>
        </is>
      </c>
      <c r="F516" t="n">
        <v>480</v>
      </c>
      <c r="G516" t="n">
        <v>17</v>
      </c>
      <c r="H516" t="inlineStr">
        <is>
          <t>라벨 교체</t>
        </is>
      </c>
      <c r="I516" t="n">
        <v>4.8</v>
      </c>
      <c r="J516" t="n">
        <v>5470</v>
      </c>
      <c r="K516" t="n">
        <v>5458</v>
      </c>
      <c r="L516" t="inlineStr">
        <is>
          <t>L-0720</t>
        </is>
      </c>
      <c r="M516">
        <f>F516-G516</f>
        <v/>
      </c>
      <c r="N516" s="2">
        <f>M516/F516</f>
        <v/>
      </c>
      <c r="O516" s="2">
        <f>I516*J516/60/M516</f>
        <v/>
      </c>
      <c r="P516" s="2">
        <f>K516/J516</f>
        <v/>
      </c>
      <c r="Q516" s="2">
        <f>N516*O516*P516</f>
        <v/>
      </c>
    </row>
    <row r="517">
      <c r="A517" t="inlineStr">
        <is>
          <t>2026-07-22</t>
        </is>
      </c>
      <c r="B517" t="inlineStr">
        <is>
          <t>주간</t>
        </is>
      </c>
      <c r="C517" t="inlineStr">
        <is>
          <t>P6</t>
        </is>
      </c>
      <c r="D517" t="inlineStr">
        <is>
          <t>포장</t>
        </is>
      </c>
      <c r="E517" t="inlineStr">
        <is>
          <t>PK-02</t>
        </is>
      </c>
      <c r="F517" t="n">
        <v>480</v>
      </c>
      <c r="G517" t="n">
        <v>47</v>
      </c>
      <c r="H517" t="inlineStr">
        <is>
          <t>라벨 교체</t>
        </is>
      </c>
      <c r="I517" t="n">
        <v>4.8</v>
      </c>
      <c r="J517" t="n">
        <v>4982</v>
      </c>
      <c r="K517" t="n">
        <v>4973</v>
      </c>
      <c r="L517" t="inlineStr">
        <is>
          <t>L-0720</t>
        </is>
      </c>
      <c r="M517">
        <f>F517-G517</f>
        <v/>
      </c>
      <c r="N517" s="2">
        <f>M517/F517</f>
        <v/>
      </c>
      <c r="O517" s="2">
        <f>I517*J517/60/M517</f>
        <v/>
      </c>
      <c r="P517" s="2">
        <f>K517/J517</f>
        <v/>
      </c>
      <c r="Q517" s="2">
        <f>N517*O517*P517</f>
        <v/>
      </c>
    </row>
    <row r="518">
      <c r="A518" t="inlineStr">
        <is>
          <t>2026-07-22</t>
        </is>
      </c>
      <c r="B518" t="inlineStr">
        <is>
          <t>야간</t>
        </is>
      </c>
      <c r="C518" t="inlineStr">
        <is>
          <t>P1</t>
        </is>
      </c>
      <c r="D518" t="inlineStr">
        <is>
          <t>원료혼합</t>
        </is>
      </c>
      <c r="E518" t="inlineStr">
        <is>
          <t>MX-01</t>
        </is>
      </c>
      <c r="F518" t="n">
        <v>480</v>
      </c>
      <c r="G518" t="n">
        <v>12</v>
      </c>
      <c r="H518" t="inlineStr">
        <is>
          <t>배합 확인</t>
        </is>
      </c>
      <c r="I518" t="n">
        <v>5</v>
      </c>
      <c r="J518" t="n">
        <v>5276</v>
      </c>
      <c r="K518" t="n">
        <v>5239</v>
      </c>
      <c r="L518" t="inlineStr">
        <is>
          <t>L-0720</t>
        </is>
      </c>
      <c r="M518">
        <f>F518-G518</f>
        <v/>
      </c>
      <c r="N518" s="2">
        <f>M518/F518</f>
        <v/>
      </c>
      <c r="O518" s="2">
        <f>I518*J518/60/M518</f>
        <v/>
      </c>
      <c r="P518" s="2">
        <f>K518/J518</f>
        <v/>
      </c>
      <c r="Q518" s="2">
        <f>N518*O518*P518</f>
        <v/>
      </c>
    </row>
    <row r="519">
      <c r="A519" t="inlineStr">
        <is>
          <t>2026-07-22</t>
        </is>
      </c>
      <c r="B519" t="inlineStr">
        <is>
          <t>야간</t>
        </is>
      </c>
      <c r="C519" t="inlineStr">
        <is>
          <t>P1</t>
        </is>
      </c>
      <c r="D519" t="inlineStr">
        <is>
          <t>원료혼합</t>
        </is>
      </c>
      <c r="E519" t="inlineStr">
        <is>
          <t>MX-02</t>
        </is>
      </c>
      <c r="F519" t="n">
        <v>480</v>
      </c>
      <c r="G519" t="n">
        <v>46</v>
      </c>
      <c r="H519" t="inlineStr">
        <is>
          <t>배합 확인</t>
        </is>
      </c>
      <c r="I519" t="n">
        <v>5</v>
      </c>
      <c r="J519" t="n">
        <v>4762</v>
      </c>
      <c r="K519" t="n">
        <v>4728</v>
      </c>
      <c r="L519" t="inlineStr">
        <is>
          <t>L-0720</t>
        </is>
      </c>
      <c r="M519">
        <f>F519-G519</f>
        <v/>
      </c>
      <c r="N519" s="2">
        <f>M519/F519</f>
        <v/>
      </c>
      <c r="O519" s="2">
        <f>I519*J519/60/M519</f>
        <v/>
      </c>
      <c r="P519" s="2">
        <f>K519/J519</f>
        <v/>
      </c>
      <c r="Q519" s="2">
        <f>N519*O519*P519</f>
        <v/>
      </c>
    </row>
    <row r="520">
      <c r="A520" t="inlineStr">
        <is>
          <t>2026-07-22</t>
        </is>
      </c>
      <c r="B520" t="inlineStr">
        <is>
          <t>야간</t>
        </is>
      </c>
      <c r="C520" t="inlineStr">
        <is>
          <t>P2</t>
        </is>
      </c>
      <c r="D520" t="inlineStr">
        <is>
          <t>성형</t>
        </is>
      </c>
      <c r="E520" t="inlineStr">
        <is>
          <t>PR-01</t>
        </is>
      </c>
      <c r="F520" t="n">
        <v>480</v>
      </c>
      <c r="G520" t="n">
        <v>60</v>
      </c>
      <c r="H520" t="inlineStr">
        <is>
          <t>분말 공급 지연</t>
        </is>
      </c>
      <c r="I520" t="n">
        <v>6</v>
      </c>
      <c r="J520" t="n">
        <v>3952</v>
      </c>
      <c r="K520" t="n">
        <v>3912</v>
      </c>
      <c r="L520" t="inlineStr">
        <is>
          <t>L-0720</t>
        </is>
      </c>
      <c r="M520">
        <f>F520-G520</f>
        <v/>
      </c>
      <c r="N520" s="2">
        <f>M520/F520</f>
        <v/>
      </c>
      <c r="O520" s="2">
        <f>I520*J520/60/M520</f>
        <v/>
      </c>
      <c r="P520" s="2">
        <f>K520/J520</f>
        <v/>
      </c>
      <c r="Q520" s="2">
        <f>N520*O520*P520</f>
        <v/>
      </c>
    </row>
    <row r="521">
      <c r="A521" t="inlineStr">
        <is>
          <t>2026-07-22</t>
        </is>
      </c>
      <c r="B521" t="inlineStr">
        <is>
          <t>야간</t>
        </is>
      </c>
      <c r="C521" t="inlineStr">
        <is>
          <t>P2</t>
        </is>
      </c>
      <c r="D521" t="inlineStr">
        <is>
          <t>성형</t>
        </is>
      </c>
      <c r="E521" t="inlineStr">
        <is>
          <t>PR-02</t>
        </is>
      </c>
      <c r="F521" t="n">
        <v>480</v>
      </c>
      <c r="G521" t="n">
        <v>55</v>
      </c>
      <c r="H521" t="inlineStr">
        <is>
          <t>금형 교체</t>
        </is>
      </c>
      <c r="I521" t="n">
        <v>6</v>
      </c>
      <c r="J521" t="n">
        <v>3944</v>
      </c>
      <c r="K521" t="n">
        <v>3904</v>
      </c>
      <c r="L521" t="inlineStr">
        <is>
          <t>L-0720</t>
        </is>
      </c>
      <c r="M521">
        <f>F521-G521</f>
        <v/>
      </c>
      <c r="N521" s="2">
        <f>M521/F521</f>
        <v/>
      </c>
      <c r="O521" s="2">
        <f>I521*J521/60/M521</f>
        <v/>
      </c>
      <c r="P521" s="2">
        <f>K521/J521</f>
        <v/>
      </c>
      <c r="Q521" s="2">
        <f>N521*O521*P521</f>
        <v/>
      </c>
    </row>
    <row r="522">
      <c r="A522" t="inlineStr">
        <is>
          <t>2026-07-22</t>
        </is>
      </c>
      <c r="B522" t="inlineStr">
        <is>
          <t>야간</t>
        </is>
      </c>
      <c r="C522" t="inlineStr">
        <is>
          <t>P3</t>
        </is>
      </c>
      <c r="D522" t="inlineStr">
        <is>
          <t>소결</t>
        </is>
      </c>
      <c r="E522" t="inlineStr">
        <is>
          <t>SF-01</t>
        </is>
      </c>
      <c r="F522" t="n">
        <v>480</v>
      </c>
      <c r="G522" t="n">
        <v>22</v>
      </c>
      <c r="H522" t="inlineStr">
        <is>
          <t>온도 이상 정지</t>
        </is>
      </c>
      <c r="I522" t="n">
        <v>6.5</v>
      </c>
      <c r="J522" t="n">
        <v>4080</v>
      </c>
      <c r="K522" t="n">
        <v>3979</v>
      </c>
      <c r="L522" t="inlineStr">
        <is>
          <t>L-0720</t>
        </is>
      </c>
      <c r="M522">
        <f>F522-G522</f>
        <v/>
      </c>
      <c r="N522" s="2">
        <f>M522/F522</f>
        <v/>
      </c>
      <c r="O522" s="2">
        <f>I522*J522/60/M522</f>
        <v/>
      </c>
      <c r="P522" s="2">
        <f>K522/J522</f>
        <v/>
      </c>
      <c r="Q522" s="2">
        <f>N522*O522*P522</f>
        <v/>
      </c>
    </row>
    <row r="523">
      <c r="A523" t="inlineStr">
        <is>
          <t>2026-07-22</t>
        </is>
      </c>
      <c r="B523" t="inlineStr">
        <is>
          <t>야간</t>
        </is>
      </c>
      <c r="C523" t="inlineStr">
        <is>
          <t>P3</t>
        </is>
      </c>
      <c r="D523" t="inlineStr">
        <is>
          <t>소결</t>
        </is>
      </c>
      <c r="E523" t="inlineStr">
        <is>
          <t>SF-02</t>
        </is>
      </c>
      <c r="F523" t="n">
        <v>480</v>
      </c>
      <c r="G523" t="n">
        <v>37</v>
      </c>
      <c r="H523" t="inlineStr">
        <is>
          <t>장입 대기</t>
        </is>
      </c>
      <c r="I523" t="n">
        <v>6.5</v>
      </c>
      <c r="J523" t="n">
        <v>3864</v>
      </c>
      <c r="K523" t="n">
        <v>3777</v>
      </c>
      <c r="L523" t="inlineStr">
        <is>
          <t>L-0720</t>
        </is>
      </c>
      <c r="M523">
        <f>F523-G523</f>
        <v/>
      </c>
      <c r="N523" s="2">
        <f>M523/F523</f>
        <v/>
      </c>
      <c r="O523" s="2">
        <f>I523*J523/60/M523</f>
        <v/>
      </c>
      <c r="P523" s="2">
        <f>K523/J523</f>
        <v/>
      </c>
      <c r="Q523" s="2">
        <f>N523*O523*P523</f>
        <v/>
      </c>
    </row>
    <row r="524">
      <c r="A524" t="inlineStr">
        <is>
          <t>2026-07-22</t>
        </is>
      </c>
      <c r="B524" t="inlineStr">
        <is>
          <t>야간</t>
        </is>
      </c>
      <c r="C524" t="inlineStr">
        <is>
          <t>P4</t>
        </is>
      </c>
      <c r="D524" t="inlineStr">
        <is>
          <t>연삭</t>
        </is>
      </c>
      <c r="E524" t="inlineStr">
        <is>
          <t>GR-01</t>
        </is>
      </c>
      <c r="F524" t="n">
        <v>480</v>
      </c>
      <c r="G524" t="n">
        <v>80</v>
      </c>
      <c r="H524" t="inlineStr">
        <is>
          <t>드레싱</t>
        </is>
      </c>
      <c r="I524" t="n">
        <v>6.2</v>
      </c>
      <c r="J524" t="n">
        <v>3428</v>
      </c>
      <c r="K524" t="n">
        <v>3391</v>
      </c>
      <c r="L524" t="inlineStr">
        <is>
          <t>L-0720</t>
        </is>
      </c>
      <c r="M524">
        <f>F524-G524</f>
        <v/>
      </c>
      <c r="N524" s="2">
        <f>M524/F524</f>
        <v/>
      </c>
      <c r="O524" s="2">
        <f>I524*J524/60/M524</f>
        <v/>
      </c>
      <c r="P524" s="2">
        <f>K524/J524</f>
        <v/>
      </c>
      <c r="Q524" s="2">
        <f>N524*O524*P524</f>
        <v/>
      </c>
    </row>
    <row r="525">
      <c r="A525" t="inlineStr">
        <is>
          <t>2026-07-22</t>
        </is>
      </c>
      <c r="B525" t="inlineStr">
        <is>
          <t>야간</t>
        </is>
      </c>
      <c r="C525" t="inlineStr">
        <is>
          <t>P4</t>
        </is>
      </c>
      <c r="D525" t="inlineStr">
        <is>
          <t>연삭</t>
        </is>
      </c>
      <c r="E525" t="inlineStr">
        <is>
          <t>GR-02</t>
        </is>
      </c>
      <c r="F525" t="n">
        <v>480</v>
      </c>
      <c r="G525" t="n">
        <v>53</v>
      </c>
      <c r="H525" t="inlineStr">
        <is>
          <t>공구 교체</t>
        </is>
      </c>
      <c r="I525" t="n">
        <v>6.2</v>
      </c>
      <c r="J525" t="n">
        <v>3790</v>
      </c>
      <c r="K525" t="n">
        <v>3748</v>
      </c>
      <c r="L525" t="inlineStr">
        <is>
          <t>L-0720</t>
        </is>
      </c>
      <c r="M525">
        <f>F525-G525</f>
        <v/>
      </c>
      <c r="N525" s="2">
        <f>M525/F525</f>
        <v/>
      </c>
      <c r="O525" s="2">
        <f>I525*J525/60/M525</f>
        <v/>
      </c>
      <c r="P525" s="2">
        <f>K525/J525</f>
        <v/>
      </c>
      <c r="Q525" s="2">
        <f>N525*O525*P525</f>
        <v/>
      </c>
    </row>
    <row r="526">
      <c r="A526" t="inlineStr">
        <is>
          <t>2026-07-22</t>
        </is>
      </c>
      <c r="B526" t="inlineStr">
        <is>
          <t>야간</t>
        </is>
      </c>
      <c r="C526" t="inlineStr">
        <is>
          <t>P5</t>
        </is>
      </c>
      <c r="D526" t="inlineStr">
        <is>
          <t>검사</t>
        </is>
      </c>
      <c r="E526" t="inlineStr">
        <is>
          <t>IN-01</t>
        </is>
      </c>
      <c r="F526" t="n">
        <v>480</v>
      </c>
      <c r="G526" t="n">
        <v>9</v>
      </c>
      <c r="H526" t="inlineStr">
        <is>
          <t>샘플 재검</t>
        </is>
      </c>
      <c r="I526" t="n">
        <v>5.5</v>
      </c>
      <c r="J526" t="n">
        <v>4817</v>
      </c>
      <c r="K526" t="n">
        <v>4799</v>
      </c>
      <c r="L526" t="inlineStr">
        <is>
          <t>L-0720</t>
        </is>
      </c>
      <c r="M526">
        <f>F526-G526</f>
        <v/>
      </c>
      <c r="N526" s="2">
        <f>M526/F526</f>
        <v/>
      </c>
      <c r="O526" s="2">
        <f>I526*J526/60/M526</f>
        <v/>
      </c>
      <c r="P526" s="2">
        <f>K526/J526</f>
        <v/>
      </c>
      <c r="Q526" s="2">
        <f>N526*O526*P526</f>
        <v/>
      </c>
    </row>
    <row r="527">
      <c r="A527" t="inlineStr">
        <is>
          <t>2026-07-22</t>
        </is>
      </c>
      <c r="B527" t="inlineStr">
        <is>
          <t>야간</t>
        </is>
      </c>
      <c r="C527" t="inlineStr">
        <is>
          <t>P5</t>
        </is>
      </c>
      <c r="D527" t="inlineStr">
        <is>
          <t>검사</t>
        </is>
      </c>
      <c r="E527" t="inlineStr">
        <is>
          <t>IN-02</t>
        </is>
      </c>
      <c r="F527" t="n">
        <v>480</v>
      </c>
      <c r="G527" t="n">
        <v>33</v>
      </c>
      <c r="H527" t="inlineStr">
        <is>
          <t>측정기 교정</t>
        </is>
      </c>
      <c r="I527" t="n">
        <v>5.5</v>
      </c>
      <c r="J527" t="n">
        <v>4661</v>
      </c>
      <c r="K527" t="n">
        <v>4639</v>
      </c>
      <c r="L527" t="inlineStr">
        <is>
          <t>L-0720</t>
        </is>
      </c>
      <c r="M527">
        <f>F527-G527</f>
        <v/>
      </c>
      <c r="N527" s="2">
        <f>M527/F527</f>
        <v/>
      </c>
      <c r="O527" s="2">
        <f>I527*J527/60/M527</f>
        <v/>
      </c>
      <c r="P527" s="2">
        <f>K527/J527</f>
        <v/>
      </c>
      <c r="Q527" s="2">
        <f>N527*O527*P527</f>
        <v/>
      </c>
    </row>
    <row r="528">
      <c r="A528" t="inlineStr">
        <is>
          <t>2026-07-22</t>
        </is>
      </c>
      <c r="B528" t="inlineStr">
        <is>
          <t>야간</t>
        </is>
      </c>
      <c r="C528" t="inlineStr">
        <is>
          <t>P6</t>
        </is>
      </c>
      <c r="D528" t="inlineStr">
        <is>
          <t>포장</t>
        </is>
      </c>
      <c r="E528" t="inlineStr">
        <is>
          <t>PK-01</t>
        </is>
      </c>
      <c r="F528" t="n">
        <v>480</v>
      </c>
      <c r="G528" t="n">
        <v>23</v>
      </c>
      <c r="H528" t="inlineStr">
        <is>
          <t>자재 대기</t>
        </is>
      </c>
      <c r="I528" t="n">
        <v>4.8</v>
      </c>
      <c r="J528" t="n">
        <v>5327</v>
      </c>
      <c r="K528" t="n">
        <v>5309</v>
      </c>
      <c r="L528" t="inlineStr">
        <is>
          <t>L-0720</t>
        </is>
      </c>
      <c r="M528">
        <f>F528-G528</f>
        <v/>
      </c>
      <c r="N528" s="2">
        <f>M528/F528</f>
        <v/>
      </c>
      <c r="O528" s="2">
        <f>I528*J528/60/M528</f>
        <v/>
      </c>
      <c r="P528" s="2">
        <f>K528/J528</f>
        <v/>
      </c>
      <c r="Q528" s="2">
        <f>N528*O528*P528</f>
        <v/>
      </c>
    </row>
    <row r="529">
      <c r="A529" t="inlineStr">
        <is>
          <t>2026-07-22</t>
        </is>
      </c>
      <c r="B529" t="inlineStr">
        <is>
          <t>야간</t>
        </is>
      </c>
      <c r="C529" t="inlineStr">
        <is>
          <t>P6</t>
        </is>
      </c>
      <c r="D529" t="inlineStr">
        <is>
          <t>포장</t>
        </is>
      </c>
      <c r="E529" t="inlineStr">
        <is>
          <t>PK-02</t>
        </is>
      </c>
      <c r="F529" t="n">
        <v>480</v>
      </c>
      <c r="G529" t="n">
        <v>21</v>
      </c>
      <c r="H529" t="inlineStr">
        <is>
          <t>자재 대기</t>
        </is>
      </c>
      <c r="I529" t="n">
        <v>4.8</v>
      </c>
      <c r="J529" t="n">
        <v>5189</v>
      </c>
      <c r="K529" t="n">
        <v>5173</v>
      </c>
      <c r="L529" t="inlineStr">
        <is>
          <t>L-0720</t>
        </is>
      </c>
      <c r="M529">
        <f>F529-G529</f>
        <v/>
      </c>
      <c r="N529" s="2">
        <f>M529/F529</f>
        <v/>
      </c>
      <c r="O529" s="2">
        <f>I529*J529/60/M529</f>
        <v/>
      </c>
      <c r="P529" s="2">
        <f>K529/J529</f>
        <v/>
      </c>
      <c r="Q529" s="2">
        <f>N529*O529*P529</f>
        <v/>
      </c>
    </row>
    <row r="530">
      <c r="A530" t="inlineStr">
        <is>
          <t>2026-07-23</t>
        </is>
      </c>
      <c r="B530" t="inlineStr">
        <is>
          <t>주간</t>
        </is>
      </c>
      <c r="C530" t="inlineStr">
        <is>
          <t>P1</t>
        </is>
      </c>
      <c r="D530" t="inlineStr">
        <is>
          <t>원료혼합</t>
        </is>
      </c>
      <c r="E530" t="inlineStr">
        <is>
          <t>MX-01</t>
        </is>
      </c>
      <c r="F530" t="n">
        <v>480</v>
      </c>
      <c r="G530" t="n">
        <v>20</v>
      </c>
      <c r="H530" t="inlineStr">
        <is>
          <t>원료 대기</t>
        </is>
      </c>
      <c r="I530" t="n">
        <v>5</v>
      </c>
      <c r="J530" t="n">
        <v>5086</v>
      </c>
      <c r="K530" t="n">
        <v>5056</v>
      </c>
      <c r="L530" t="inlineStr">
        <is>
          <t>L-0720</t>
        </is>
      </c>
      <c r="M530">
        <f>F530-G530</f>
        <v/>
      </c>
      <c r="N530" s="2">
        <f>M530/F530</f>
        <v/>
      </c>
      <c r="O530" s="2">
        <f>I530*J530/60/M530</f>
        <v/>
      </c>
      <c r="P530" s="2">
        <f>K530/J530</f>
        <v/>
      </c>
      <c r="Q530" s="2">
        <f>N530*O530*P530</f>
        <v/>
      </c>
    </row>
    <row r="531">
      <c r="A531" t="inlineStr">
        <is>
          <t>2026-07-23</t>
        </is>
      </c>
      <c r="B531" t="inlineStr">
        <is>
          <t>주간</t>
        </is>
      </c>
      <c r="C531" t="inlineStr">
        <is>
          <t>P1</t>
        </is>
      </c>
      <c r="D531" t="inlineStr">
        <is>
          <t>원료혼합</t>
        </is>
      </c>
      <c r="E531" t="inlineStr">
        <is>
          <t>MX-02</t>
        </is>
      </c>
      <c r="F531" t="n">
        <v>480</v>
      </c>
      <c r="G531" t="n">
        <v>29</v>
      </c>
      <c r="H531" t="inlineStr">
        <is>
          <t>원료 대기</t>
        </is>
      </c>
      <c r="I531" t="n">
        <v>5</v>
      </c>
      <c r="J531" t="n">
        <v>5020</v>
      </c>
      <c r="K531" t="n">
        <v>4991</v>
      </c>
      <c r="L531" t="inlineStr">
        <is>
          <t>L-0720</t>
        </is>
      </c>
      <c r="M531">
        <f>F531-G531</f>
        <v/>
      </c>
      <c r="N531" s="2">
        <f>M531/F531</f>
        <v/>
      </c>
      <c r="O531" s="2">
        <f>I531*J531/60/M531</f>
        <v/>
      </c>
      <c r="P531" s="2">
        <f>K531/J531</f>
        <v/>
      </c>
      <c r="Q531" s="2">
        <f>N531*O531*P531</f>
        <v/>
      </c>
    </row>
    <row r="532">
      <c r="A532" t="inlineStr">
        <is>
          <t>2026-07-23</t>
        </is>
      </c>
      <c r="B532" t="inlineStr">
        <is>
          <t>주간</t>
        </is>
      </c>
      <c r="C532" t="inlineStr">
        <is>
          <t>P2</t>
        </is>
      </c>
      <c r="D532" t="inlineStr">
        <is>
          <t>성형</t>
        </is>
      </c>
      <c r="E532" t="inlineStr">
        <is>
          <t>PR-01</t>
        </is>
      </c>
      <c r="F532" t="n">
        <v>480</v>
      </c>
      <c r="G532" t="n">
        <v>2</v>
      </c>
      <c r="H532" t="inlineStr">
        <is>
          <t>분말 공급 지연</t>
        </is>
      </c>
      <c r="I532" t="n">
        <v>6</v>
      </c>
      <c r="J532" t="n">
        <v>4486</v>
      </c>
      <c r="K532" t="n">
        <v>4434</v>
      </c>
      <c r="L532" t="inlineStr">
        <is>
          <t>L-0720</t>
        </is>
      </c>
      <c r="M532">
        <f>F532-G532</f>
        <v/>
      </c>
      <c r="N532" s="2">
        <f>M532/F532</f>
        <v/>
      </c>
      <c r="O532" s="2">
        <f>I532*J532/60/M532</f>
        <v/>
      </c>
      <c r="P532" s="2">
        <f>K532/J532</f>
        <v/>
      </c>
      <c r="Q532" s="2">
        <f>N532*O532*P532</f>
        <v/>
      </c>
    </row>
    <row r="533">
      <c r="A533" t="inlineStr">
        <is>
          <t>2026-07-23</t>
        </is>
      </c>
      <c r="B533" t="inlineStr">
        <is>
          <t>주간</t>
        </is>
      </c>
      <c r="C533" t="inlineStr">
        <is>
          <t>P2</t>
        </is>
      </c>
      <c r="D533" t="inlineStr">
        <is>
          <t>성형</t>
        </is>
      </c>
      <c r="E533" t="inlineStr">
        <is>
          <t>PR-02</t>
        </is>
      </c>
      <c r="F533" t="n">
        <v>480</v>
      </c>
      <c r="G533" t="n">
        <v>13</v>
      </c>
      <c r="H533" t="inlineStr">
        <is>
          <t>분말 공급 지연</t>
        </is>
      </c>
      <c r="I533" t="n">
        <v>6</v>
      </c>
      <c r="J533" t="n">
        <v>4404</v>
      </c>
      <c r="K533" t="n">
        <v>4365</v>
      </c>
      <c r="L533" t="inlineStr">
        <is>
          <t>L-0720</t>
        </is>
      </c>
      <c r="M533">
        <f>F533-G533</f>
        <v/>
      </c>
      <c r="N533" s="2">
        <f>M533/F533</f>
        <v/>
      </c>
      <c r="O533" s="2">
        <f>I533*J533/60/M533</f>
        <v/>
      </c>
      <c r="P533" s="2">
        <f>K533/J533</f>
        <v/>
      </c>
      <c r="Q533" s="2">
        <f>N533*O533*P533</f>
        <v/>
      </c>
    </row>
    <row r="534">
      <c r="A534" t="inlineStr">
        <is>
          <t>2026-07-23</t>
        </is>
      </c>
      <c r="B534" t="inlineStr">
        <is>
          <t>주간</t>
        </is>
      </c>
      <c r="C534" t="inlineStr">
        <is>
          <t>P3</t>
        </is>
      </c>
      <c r="D534" t="inlineStr">
        <is>
          <t>소결</t>
        </is>
      </c>
      <c r="E534" t="inlineStr">
        <is>
          <t>SF-01</t>
        </is>
      </c>
      <c r="F534" t="n">
        <v>480</v>
      </c>
      <c r="G534" t="n">
        <v>49</v>
      </c>
      <c r="H534" t="inlineStr">
        <is>
          <t>온도 이상 정지</t>
        </is>
      </c>
      <c r="I534" t="n">
        <v>6.5</v>
      </c>
      <c r="J534" t="n">
        <v>3651</v>
      </c>
      <c r="K534" t="n">
        <v>3548</v>
      </c>
      <c r="L534" t="inlineStr">
        <is>
          <t>L-0720</t>
        </is>
      </c>
      <c r="M534">
        <f>F534-G534</f>
        <v/>
      </c>
      <c r="N534" s="2">
        <f>M534/F534</f>
        <v/>
      </c>
      <c r="O534" s="2">
        <f>I534*J534/60/M534</f>
        <v/>
      </c>
      <c r="P534" s="2">
        <f>K534/J534</f>
        <v/>
      </c>
      <c r="Q534" s="2">
        <f>N534*O534*P534</f>
        <v/>
      </c>
    </row>
    <row r="535">
      <c r="A535" t="inlineStr">
        <is>
          <t>2026-07-23</t>
        </is>
      </c>
      <c r="B535" t="inlineStr">
        <is>
          <t>주간</t>
        </is>
      </c>
      <c r="C535" t="inlineStr">
        <is>
          <t>P3</t>
        </is>
      </c>
      <c r="D535" t="inlineStr">
        <is>
          <t>소결</t>
        </is>
      </c>
      <c r="E535" t="inlineStr">
        <is>
          <t>SF-02</t>
        </is>
      </c>
      <c r="F535" t="n">
        <v>480</v>
      </c>
      <c r="G535" t="n">
        <v>39</v>
      </c>
      <c r="H535" t="inlineStr">
        <is>
          <t>온도 이상 정지</t>
        </is>
      </c>
      <c r="I535" t="n">
        <v>6.5</v>
      </c>
      <c r="J535" t="n">
        <v>3838</v>
      </c>
      <c r="K535" t="n">
        <v>3769</v>
      </c>
      <c r="L535" t="inlineStr">
        <is>
          <t>L-0720</t>
        </is>
      </c>
      <c r="M535">
        <f>F535-G535</f>
        <v/>
      </c>
      <c r="N535" s="2">
        <f>M535/F535</f>
        <v/>
      </c>
      <c r="O535" s="2">
        <f>I535*J535/60/M535</f>
        <v/>
      </c>
      <c r="P535" s="2">
        <f>K535/J535</f>
        <v/>
      </c>
      <c r="Q535" s="2">
        <f>N535*O535*P535</f>
        <v/>
      </c>
    </row>
    <row r="536">
      <c r="A536" t="inlineStr">
        <is>
          <t>2026-07-23</t>
        </is>
      </c>
      <c r="B536" t="inlineStr">
        <is>
          <t>주간</t>
        </is>
      </c>
      <c r="C536" t="inlineStr">
        <is>
          <t>P4</t>
        </is>
      </c>
      <c r="D536" t="inlineStr">
        <is>
          <t>연삭</t>
        </is>
      </c>
      <c r="E536" t="inlineStr">
        <is>
          <t>GR-01</t>
        </is>
      </c>
      <c r="F536" t="n">
        <v>480</v>
      </c>
      <c r="G536" t="n">
        <v>78</v>
      </c>
      <c r="H536" t="inlineStr">
        <is>
          <t>공구 교체</t>
        </is>
      </c>
      <c r="I536" t="n">
        <v>6.2</v>
      </c>
      <c r="J536" t="n">
        <v>3614</v>
      </c>
      <c r="K536" t="n">
        <v>3570</v>
      </c>
      <c r="L536" t="inlineStr">
        <is>
          <t>L-0720</t>
        </is>
      </c>
      <c r="M536">
        <f>F536-G536</f>
        <v/>
      </c>
      <c r="N536" s="2">
        <f>M536/F536</f>
        <v/>
      </c>
      <c r="O536" s="2">
        <f>I536*J536/60/M536</f>
        <v/>
      </c>
      <c r="P536" s="2">
        <f>K536/J536</f>
        <v/>
      </c>
      <c r="Q536" s="2">
        <f>N536*O536*P536</f>
        <v/>
      </c>
    </row>
    <row r="537">
      <c r="A537" t="inlineStr">
        <is>
          <t>2026-07-23</t>
        </is>
      </c>
      <c r="B537" t="inlineStr">
        <is>
          <t>주간</t>
        </is>
      </c>
      <c r="C537" t="inlineStr">
        <is>
          <t>P4</t>
        </is>
      </c>
      <c r="D537" t="inlineStr">
        <is>
          <t>연삭</t>
        </is>
      </c>
      <c r="E537" t="inlineStr">
        <is>
          <t>GR-02</t>
        </is>
      </c>
      <c r="F537" t="n">
        <v>480</v>
      </c>
      <c r="G537" t="n">
        <v>82</v>
      </c>
      <c r="H537" t="inlineStr">
        <is>
          <t>드레싱</t>
        </is>
      </c>
      <c r="I537" t="n">
        <v>6.2</v>
      </c>
      <c r="J537" t="n">
        <v>3400</v>
      </c>
      <c r="K537" t="n">
        <v>3373</v>
      </c>
      <c r="L537" t="inlineStr">
        <is>
          <t>L-0720</t>
        </is>
      </c>
      <c r="M537">
        <f>F537-G537</f>
        <v/>
      </c>
      <c r="N537" s="2">
        <f>M537/F537</f>
        <v/>
      </c>
      <c r="O537" s="2">
        <f>I537*J537/60/M537</f>
        <v/>
      </c>
      <c r="P537" s="2">
        <f>K537/J537</f>
        <v/>
      </c>
      <c r="Q537" s="2">
        <f>N537*O537*P537</f>
        <v/>
      </c>
    </row>
    <row r="538">
      <c r="A538" t="inlineStr">
        <is>
          <t>2026-07-23</t>
        </is>
      </c>
      <c r="B538" t="inlineStr">
        <is>
          <t>주간</t>
        </is>
      </c>
      <c r="C538" t="inlineStr">
        <is>
          <t>P5</t>
        </is>
      </c>
      <c r="D538" t="inlineStr">
        <is>
          <t>검사</t>
        </is>
      </c>
      <c r="E538" t="inlineStr">
        <is>
          <t>IN-01</t>
        </is>
      </c>
      <c r="F538" t="n">
        <v>480</v>
      </c>
      <c r="G538" t="n">
        <v>6</v>
      </c>
      <c r="H538" t="inlineStr">
        <is>
          <t>샘플 재검</t>
        </is>
      </c>
      <c r="I538" t="n">
        <v>5.5</v>
      </c>
      <c r="J538" t="n">
        <v>4572</v>
      </c>
      <c r="K538" t="n">
        <v>4562</v>
      </c>
      <c r="L538" t="inlineStr">
        <is>
          <t>L-0720</t>
        </is>
      </c>
      <c r="M538">
        <f>F538-G538</f>
        <v/>
      </c>
      <c r="N538" s="2">
        <f>M538/F538</f>
        <v/>
      </c>
      <c r="O538" s="2">
        <f>I538*J538/60/M538</f>
        <v/>
      </c>
      <c r="P538" s="2">
        <f>K538/J538</f>
        <v/>
      </c>
      <c r="Q538" s="2">
        <f>N538*O538*P538</f>
        <v/>
      </c>
    </row>
    <row r="539">
      <c r="A539" t="inlineStr">
        <is>
          <t>2026-07-23</t>
        </is>
      </c>
      <c r="B539" t="inlineStr">
        <is>
          <t>주간</t>
        </is>
      </c>
      <c r="C539" t="inlineStr">
        <is>
          <t>P5</t>
        </is>
      </c>
      <c r="D539" t="inlineStr">
        <is>
          <t>검사</t>
        </is>
      </c>
      <c r="E539" t="inlineStr">
        <is>
          <t>IN-02</t>
        </is>
      </c>
      <c r="F539" t="n">
        <v>480</v>
      </c>
      <c r="G539" t="n">
        <v>17</v>
      </c>
      <c r="H539" t="inlineStr">
        <is>
          <t>측정기 교정</t>
        </is>
      </c>
      <c r="I539" t="n">
        <v>5.5</v>
      </c>
      <c r="J539" t="n">
        <v>4484</v>
      </c>
      <c r="K539" t="n">
        <v>4468</v>
      </c>
      <c r="L539" t="inlineStr">
        <is>
          <t>L-0720</t>
        </is>
      </c>
      <c r="M539">
        <f>F539-G539</f>
        <v/>
      </c>
      <c r="N539" s="2">
        <f>M539/F539</f>
        <v/>
      </c>
      <c r="O539" s="2">
        <f>I539*J539/60/M539</f>
        <v/>
      </c>
      <c r="P539" s="2">
        <f>K539/J539</f>
        <v/>
      </c>
      <c r="Q539" s="2">
        <f>N539*O539*P539</f>
        <v/>
      </c>
    </row>
    <row r="540">
      <c r="A540" t="inlineStr">
        <is>
          <t>2026-07-23</t>
        </is>
      </c>
      <c r="B540" t="inlineStr">
        <is>
          <t>주간</t>
        </is>
      </c>
      <c r="C540" t="inlineStr">
        <is>
          <t>P6</t>
        </is>
      </c>
      <c r="D540" t="inlineStr">
        <is>
          <t>포장</t>
        </is>
      </c>
      <c r="E540" t="inlineStr">
        <is>
          <t>PK-01</t>
        </is>
      </c>
      <c r="F540" t="n">
        <v>480</v>
      </c>
      <c r="G540" t="n">
        <v>62</v>
      </c>
      <c r="H540" t="inlineStr">
        <is>
          <t>자재 대기</t>
        </is>
      </c>
      <c r="I540" t="n">
        <v>4.8</v>
      </c>
      <c r="J540" t="n">
        <v>4820</v>
      </c>
      <c r="K540" t="n">
        <v>4812</v>
      </c>
      <c r="L540" t="inlineStr">
        <is>
          <t>L-0720</t>
        </is>
      </c>
      <c r="M540">
        <f>F540-G540</f>
        <v/>
      </c>
      <c r="N540" s="2">
        <f>M540/F540</f>
        <v/>
      </c>
      <c r="O540" s="2">
        <f>I540*J540/60/M540</f>
        <v/>
      </c>
      <c r="P540" s="2">
        <f>K540/J540</f>
        <v/>
      </c>
      <c r="Q540" s="2">
        <f>N540*O540*P540</f>
        <v/>
      </c>
    </row>
    <row r="541">
      <c r="A541" t="inlineStr">
        <is>
          <t>2026-07-23</t>
        </is>
      </c>
      <c r="B541" t="inlineStr">
        <is>
          <t>주간</t>
        </is>
      </c>
      <c r="C541" t="inlineStr">
        <is>
          <t>P6</t>
        </is>
      </c>
      <c r="D541" t="inlineStr">
        <is>
          <t>포장</t>
        </is>
      </c>
      <c r="E541" t="inlineStr">
        <is>
          <t>PK-02</t>
        </is>
      </c>
      <c r="F541" t="n">
        <v>480</v>
      </c>
      <c r="G541" t="n">
        <v>23</v>
      </c>
      <c r="H541" t="inlineStr">
        <is>
          <t>자재 대기</t>
        </is>
      </c>
      <c r="I541" t="n">
        <v>4.8</v>
      </c>
      <c r="J541" t="n">
        <v>5211</v>
      </c>
      <c r="K541" t="n">
        <v>5201</v>
      </c>
      <c r="L541" t="inlineStr">
        <is>
          <t>L-0720</t>
        </is>
      </c>
      <c r="M541">
        <f>F541-G541</f>
        <v/>
      </c>
      <c r="N541" s="2">
        <f>M541/F541</f>
        <v/>
      </c>
      <c r="O541" s="2">
        <f>I541*J541/60/M541</f>
        <v/>
      </c>
      <c r="P541" s="2">
        <f>K541/J541</f>
        <v/>
      </c>
      <c r="Q541" s="2">
        <f>N541*O541*P541</f>
        <v/>
      </c>
    </row>
    <row r="542">
      <c r="A542" t="inlineStr">
        <is>
          <t>2026-07-23</t>
        </is>
      </c>
      <c r="B542" t="inlineStr">
        <is>
          <t>야간</t>
        </is>
      </c>
      <c r="C542" t="inlineStr">
        <is>
          <t>P1</t>
        </is>
      </c>
      <c r="D542" t="inlineStr">
        <is>
          <t>원료혼합</t>
        </is>
      </c>
      <c r="E542" t="inlineStr">
        <is>
          <t>MX-01</t>
        </is>
      </c>
      <c r="F542" t="n">
        <v>480</v>
      </c>
      <c r="G542" t="n">
        <v>19</v>
      </c>
      <c r="H542" t="inlineStr">
        <is>
          <t>청소</t>
        </is>
      </c>
      <c r="I542" t="n">
        <v>5</v>
      </c>
      <c r="J542" t="n">
        <v>4936</v>
      </c>
      <c r="K542" t="n">
        <v>4901</v>
      </c>
      <c r="L542" t="inlineStr">
        <is>
          <t>L-0720</t>
        </is>
      </c>
      <c r="M542">
        <f>F542-G542</f>
        <v/>
      </c>
      <c r="N542" s="2">
        <f>M542/F542</f>
        <v/>
      </c>
      <c r="O542" s="2">
        <f>I542*J542/60/M542</f>
        <v/>
      </c>
      <c r="P542" s="2">
        <f>K542/J542</f>
        <v/>
      </c>
      <c r="Q542" s="2">
        <f>N542*O542*P542</f>
        <v/>
      </c>
    </row>
    <row r="543">
      <c r="A543" t="inlineStr">
        <is>
          <t>2026-07-23</t>
        </is>
      </c>
      <c r="B543" t="inlineStr">
        <is>
          <t>야간</t>
        </is>
      </c>
      <c r="C543" t="inlineStr">
        <is>
          <t>P1</t>
        </is>
      </c>
      <c r="D543" t="inlineStr">
        <is>
          <t>원료혼합</t>
        </is>
      </c>
      <c r="E543" t="inlineStr">
        <is>
          <t>MX-02</t>
        </is>
      </c>
      <c r="F543" t="n">
        <v>480</v>
      </c>
      <c r="G543" t="n">
        <v>34</v>
      </c>
      <c r="H543" t="inlineStr">
        <is>
          <t>청소</t>
        </is>
      </c>
      <c r="I543" t="n">
        <v>5</v>
      </c>
      <c r="J543" t="n">
        <v>4816</v>
      </c>
      <c r="K543" t="n">
        <v>4782</v>
      </c>
      <c r="L543" t="inlineStr">
        <is>
          <t>L-0720</t>
        </is>
      </c>
      <c r="M543">
        <f>F543-G543</f>
        <v/>
      </c>
      <c r="N543" s="2">
        <f>M543/F543</f>
        <v/>
      </c>
      <c r="O543" s="2">
        <f>I543*J543/60/M543</f>
        <v/>
      </c>
      <c r="P543" s="2">
        <f>K543/J543</f>
        <v/>
      </c>
      <c r="Q543" s="2">
        <f>N543*O543*P543</f>
        <v/>
      </c>
    </row>
    <row r="544">
      <c r="A544" t="inlineStr">
        <is>
          <t>2026-07-23</t>
        </is>
      </c>
      <c r="B544" t="inlineStr">
        <is>
          <t>야간</t>
        </is>
      </c>
      <c r="C544" t="inlineStr">
        <is>
          <t>P2</t>
        </is>
      </c>
      <c r="D544" t="inlineStr">
        <is>
          <t>성형</t>
        </is>
      </c>
      <c r="E544" t="inlineStr">
        <is>
          <t>PR-01</t>
        </is>
      </c>
      <c r="F544" t="n">
        <v>480</v>
      </c>
      <c r="G544" t="n">
        <v>4</v>
      </c>
      <c r="H544" t="inlineStr">
        <is>
          <t>압력 이상</t>
        </is>
      </c>
      <c r="I544" t="n">
        <v>6</v>
      </c>
      <c r="J544" t="n">
        <v>4465</v>
      </c>
      <c r="K544" t="n">
        <v>4424</v>
      </c>
      <c r="L544" t="inlineStr">
        <is>
          <t>L-0720</t>
        </is>
      </c>
      <c r="M544">
        <f>F544-G544</f>
        <v/>
      </c>
      <c r="N544" s="2">
        <f>M544/F544</f>
        <v/>
      </c>
      <c r="O544" s="2">
        <f>I544*J544/60/M544</f>
        <v/>
      </c>
      <c r="P544" s="2">
        <f>K544/J544</f>
        <v/>
      </c>
      <c r="Q544" s="2">
        <f>N544*O544*P544</f>
        <v/>
      </c>
    </row>
    <row r="545">
      <c r="A545" t="inlineStr">
        <is>
          <t>2026-07-23</t>
        </is>
      </c>
      <c r="B545" t="inlineStr">
        <is>
          <t>야간</t>
        </is>
      </c>
      <c r="C545" t="inlineStr">
        <is>
          <t>P2</t>
        </is>
      </c>
      <c r="D545" t="inlineStr">
        <is>
          <t>성형</t>
        </is>
      </c>
      <c r="E545" t="inlineStr">
        <is>
          <t>PR-02</t>
        </is>
      </c>
      <c r="F545" t="n">
        <v>480</v>
      </c>
      <c r="G545" t="n">
        <v>27</v>
      </c>
      <c r="H545" t="inlineStr">
        <is>
          <t>금형 교체</t>
        </is>
      </c>
      <c r="I545" t="n">
        <v>6</v>
      </c>
      <c r="J545" t="n">
        <v>4434</v>
      </c>
      <c r="K545" t="n">
        <v>4391</v>
      </c>
      <c r="L545" t="inlineStr">
        <is>
          <t>L-0720</t>
        </is>
      </c>
      <c r="M545">
        <f>F545-G545</f>
        <v/>
      </c>
      <c r="N545" s="2">
        <f>M545/F545</f>
        <v/>
      </c>
      <c r="O545" s="2">
        <f>I545*J545/60/M545</f>
        <v/>
      </c>
      <c r="P545" s="2">
        <f>K545/J545</f>
        <v/>
      </c>
      <c r="Q545" s="2">
        <f>N545*O545*P545</f>
        <v/>
      </c>
    </row>
    <row r="546">
      <c r="A546" t="inlineStr">
        <is>
          <t>2026-07-23</t>
        </is>
      </c>
      <c r="B546" t="inlineStr">
        <is>
          <t>야간</t>
        </is>
      </c>
      <c r="C546" t="inlineStr">
        <is>
          <t>P3</t>
        </is>
      </c>
      <c r="D546" t="inlineStr">
        <is>
          <t>소결</t>
        </is>
      </c>
      <c r="E546" t="inlineStr">
        <is>
          <t>SF-01</t>
        </is>
      </c>
      <c r="F546" t="n">
        <v>480</v>
      </c>
      <c r="G546" t="n">
        <v>53</v>
      </c>
      <c r="H546" t="inlineStr">
        <is>
          <t>재가열</t>
        </is>
      </c>
      <c r="I546" t="n">
        <v>6.5</v>
      </c>
      <c r="J546" t="n">
        <v>3730</v>
      </c>
      <c r="K546" t="n">
        <v>3661</v>
      </c>
      <c r="L546" t="inlineStr">
        <is>
          <t>L-0720</t>
        </is>
      </c>
      <c r="M546">
        <f>F546-G546</f>
        <v/>
      </c>
      <c r="N546" s="2">
        <f>M546/F546</f>
        <v/>
      </c>
      <c r="O546" s="2">
        <f>I546*J546/60/M546</f>
        <v/>
      </c>
      <c r="P546" s="2">
        <f>K546/J546</f>
        <v/>
      </c>
      <c r="Q546" s="2">
        <f>N546*O546*P546</f>
        <v/>
      </c>
    </row>
    <row r="547">
      <c r="A547" t="inlineStr">
        <is>
          <t>2026-07-23</t>
        </is>
      </c>
      <c r="B547" t="inlineStr">
        <is>
          <t>야간</t>
        </is>
      </c>
      <c r="C547" t="inlineStr">
        <is>
          <t>P3</t>
        </is>
      </c>
      <c r="D547" t="inlineStr">
        <is>
          <t>소결</t>
        </is>
      </c>
      <c r="E547" t="inlineStr">
        <is>
          <t>SF-02</t>
        </is>
      </c>
      <c r="F547" t="n">
        <v>480</v>
      </c>
      <c r="G547" t="n">
        <v>33</v>
      </c>
      <c r="H547" t="inlineStr">
        <is>
          <t>장입 대기</t>
        </is>
      </c>
      <c r="I547" t="n">
        <v>6.5</v>
      </c>
      <c r="J547" t="n">
        <v>3835</v>
      </c>
      <c r="K547" t="n">
        <v>3771</v>
      </c>
      <c r="L547" t="inlineStr">
        <is>
          <t>L-0720</t>
        </is>
      </c>
      <c r="M547">
        <f>F547-G547</f>
        <v/>
      </c>
      <c r="N547" s="2">
        <f>M547/F547</f>
        <v/>
      </c>
      <c r="O547" s="2">
        <f>I547*J547/60/M547</f>
        <v/>
      </c>
      <c r="P547" s="2">
        <f>K547/J547</f>
        <v/>
      </c>
      <c r="Q547" s="2">
        <f>N547*O547*P547</f>
        <v/>
      </c>
    </row>
    <row r="548">
      <c r="A548" t="inlineStr">
        <is>
          <t>2026-07-23</t>
        </is>
      </c>
      <c r="B548" t="inlineStr">
        <is>
          <t>야간</t>
        </is>
      </c>
      <c r="C548" t="inlineStr">
        <is>
          <t>P4</t>
        </is>
      </c>
      <c r="D548" t="inlineStr">
        <is>
          <t>연삭</t>
        </is>
      </c>
      <c r="E548" t="inlineStr">
        <is>
          <t>GR-01</t>
        </is>
      </c>
      <c r="F548" t="n">
        <v>480</v>
      </c>
      <c r="G548" t="n">
        <v>74</v>
      </c>
      <c r="H548" t="inlineStr">
        <is>
          <t>공구 교체</t>
        </is>
      </c>
      <c r="I548" t="n">
        <v>6.2</v>
      </c>
      <c r="J548" t="n">
        <v>3718</v>
      </c>
      <c r="K548" t="n">
        <v>3680</v>
      </c>
      <c r="L548" t="inlineStr">
        <is>
          <t>L-0720</t>
        </is>
      </c>
      <c r="M548">
        <f>F548-G548</f>
        <v/>
      </c>
      <c r="N548" s="2">
        <f>M548/F548</f>
        <v/>
      </c>
      <c r="O548" s="2">
        <f>I548*J548/60/M548</f>
        <v/>
      </c>
      <c r="P548" s="2">
        <f>K548/J548</f>
        <v/>
      </c>
      <c r="Q548" s="2">
        <f>N548*O548*P548</f>
        <v/>
      </c>
    </row>
    <row r="549">
      <c r="A549" t="inlineStr">
        <is>
          <t>2026-07-23</t>
        </is>
      </c>
      <c r="B549" t="inlineStr">
        <is>
          <t>야간</t>
        </is>
      </c>
      <c r="C549" t="inlineStr">
        <is>
          <t>P4</t>
        </is>
      </c>
      <c r="D549" t="inlineStr">
        <is>
          <t>연삭</t>
        </is>
      </c>
      <c r="E549" t="inlineStr">
        <is>
          <t>GR-02</t>
        </is>
      </c>
      <c r="F549" t="n">
        <v>480</v>
      </c>
      <c r="G549" t="n">
        <v>67</v>
      </c>
      <c r="H549" t="inlineStr">
        <is>
          <t>공구 교체</t>
        </is>
      </c>
      <c r="I549" t="n">
        <v>6.2</v>
      </c>
      <c r="J549" t="n">
        <v>3757</v>
      </c>
      <c r="K549" t="n">
        <v>3711</v>
      </c>
      <c r="L549" t="inlineStr">
        <is>
          <t>L-0720</t>
        </is>
      </c>
      <c r="M549">
        <f>F549-G549</f>
        <v/>
      </c>
      <c r="N549" s="2">
        <f>M549/F549</f>
        <v/>
      </c>
      <c r="O549" s="2">
        <f>I549*J549/60/M549</f>
        <v/>
      </c>
      <c r="P549" s="2">
        <f>K549/J549</f>
        <v/>
      </c>
      <c r="Q549" s="2">
        <f>N549*O549*P549</f>
        <v/>
      </c>
    </row>
    <row r="550">
      <c r="A550" t="inlineStr">
        <is>
          <t>2026-07-23</t>
        </is>
      </c>
      <c r="B550" t="inlineStr">
        <is>
          <t>야간</t>
        </is>
      </c>
      <c r="C550" t="inlineStr">
        <is>
          <t>P5</t>
        </is>
      </c>
      <c r="D550" t="inlineStr">
        <is>
          <t>검사</t>
        </is>
      </c>
      <c r="E550" t="inlineStr">
        <is>
          <t>IN-01</t>
        </is>
      </c>
      <c r="F550" t="n">
        <v>480</v>
      </c>
      <c r="G550" t="n">
        <v>26</v>
      </c>
      <c r="H550" t="inlineStr">
        <is>
          <t>측정기 교정</t>
        </is>
      </c>
      <c r="I550" t="n">
        <v>5.5</v>
      </c>
      <c r="J550" t="n">
        <v>4422</v>
      </c>
      <c r="K550" t="n">
        <v>4403</v>
      </c>
      <c r="L550" t="inlineStr">
        <is>
          <t>L-0720</t>
        </is>
      </c>
      <c r="M550">
        <f>F550-G550</f>
        <v/>
      </c>
      <c r="N550" s="2">
        <f>M550/F550</f>
        <v/>
      </c>
      <c r="O550" s="2">
        <f>I550*J550/60/M550</f>
        <v/>
      </c>
      <c r="P550" s="2">
        <f>K550/J550</f>
        <v/>
      </c>
      <c r="Q550" s="2">
        <f>N550*O550*P550</f>
        <v/>
      </c>
    </row>
    <row r="551">
      <c r="A551" t="inlineStr">
        <is>
          <t>2026-07-23</t>
        </is>
      </c>
      <c r="B551" t="inlineStr">
        <is>
          <t>야간</t>
        </is>
      </c>
      <c r="C551" t="inlineStr">
        <is>
          <t>P5</t>
        </is>
      </c>
      <c r="D551" t="inlineStr">
        <is>
          <t>검사</t>
        </is>
      </c>
      <c r="E551" t="inlineStr">
        <is>
          <t>IN-02</t>
        </is>
      </c>
      <c r="F551" t="n">
        <v>480</v>
      </c>
      <c r="G551" t="n">
        <v>40</v>
      </c>
      <c r="H551" t="inlineStr">
        <is>
          <t>샘플 재검</t>
        </is>
      </c>
      <c r="I551" t="n">
        <v>5.5</v>
      </c>
      <c r="J551" t="n">
        <v>4596</v>
      </c>
      <c r="K551" t="n">
        <v>4577</v>
      </c>
      <c r="L551" t="inlineStr">
        <is>
          <t>L-0720</t>
        </is>
      </c>
      <c r="M551">
        <f>F551-G551</f>
        <v/>
      </c>
      <c r="N551" s="2">
        <f>M551/F551</f>
        <v/>
      </c>
      <c r="O551" s="2">
        <f>I551*J551/60/M551</f>
        <v/>
      </c>
      <c r="P551" s="2">
        <f>K551/J551</f>
        <v/>
      </c>
      <c r="Q551" s="2">
        <f>N551*O551*P551</f>
        <v/>
      </c>
    </row>
    <row r="552">
      <c r="A552" t="inlineStr">
        <is>
          <t>2026-07-23</t>
        </is>
      </c>
      <c r="B552" t="inlineStr">
        <is>
          <t>야간</t>
        </is>
      </c>
      <c r="C552" t="inlineStr">
        <is>
          <t>P6</t>
        </is>
      </c>
      <c r="D552" t="inlineStr">
        <is>
          <t>포장</t>
        </is>
      </c>
      <c r="E552" t="inlineStr">
        <is>
          <t>PK-01</t>
        </is>
      </c>
      <c r="F552" t="n">
        <v>480</v>
      </c>
      <c r="G552" t="n">
        <v>10</v>
      </c>
      <c r="H552" t="inlineStr">
        <is>
          <t>자재 대기</t>
        </is>
      </c>
      <c r="I552" t="n">
        <v>4.8</v>
      </c>
      <c r="J552" t="n">
        <v>5484</v>
      </c>
      <c r="K552" t="n">
        <v>5467</v>
      </c>
      <c r="L552" t="inlineStr">
        <is>
          <t>L-0720</t>
        </is>
      </c>
      <c r="M552">
        <f>F552-G552</f>
        <v/>
      </c>
      <c r="N552" s="2">
        <f>M552/F552</f>
        <v/>
      </c>
      <c r="O552" s="2">
        <f>I552*J552/60/M552</f>
        <v/>
      </c>
      <c r="P552" s="2">
        <f>K552/J552</f>
        <v/>
      </c>
      <c r="Q552" s="2">
        <f>N552*O552*P552</f>
        <v/>
      </c>
    </row>
    <row r="553">
      <c r="A553" t="inlineStr">
        <is>
          <t>2026-07-23</t>
        </is>
      </c>
      <c r="B553" t="inlineStr">
        <is>
          <t>야간</t>
        </is>
      </c>
      <c r="C553" t="inlineStr">
        <is>
          <t>P6</t>
        </is>
      </c>
      <c r="D553" t="inlineStr">
        <is>
          <t>포장</t>
        </is>
      </c>
      <c r="E553" t="inlineStr">
        <is>
          <t>PK-02</t>
        </is>
      </c>
      <c r="F553" t="n">
        <v>480</v>
      </c>
      <c r="G553" t="n">
        <v>33</v>
      </c>
      <c r="H553" t="inlineStr">
        <is>
          <t>자재 대기</t>
        </is>
      </c>
      <c r="I553" t="n">
        <v>4.8</v>
      </c>
      <c r="J553" t="n">
        <v>5233</v>
      </c>
      <c r="K553" t="n">
        <v>5217</v>
      </c>
      <c r="L553" t="inlineStr">
        <is>
          <t>L-0720</t>
        </is>
      </c>
      <c r="M553">
        <f>F553-G553</f>
        <v/>
      </c>
      <c r="N553" s="2">
        <f>M553/F553</f>
        <v/>
      </c>
      <c r="O553" s="2">
        <f>I553*J553/60/M553</f>
        <v/>
      </c>
      <c r="P553" s="2">
        <f>K553/J553</f>
        <v/>
      </c>
      <c r="Q553" s="2">
        <f>N553*O553*P553</f>
        <v/>
      </c>
    </row>
    <row r="554">
      <c r="A554" t="inlineStr">
        <is>
          <t>2026-07-24</t>
        </is>
      </c>
      <c r="B554" t="inlineStr">
        <is>
          <t>주간</t>
        </is>
      </c>
      <c r="C554" t="inlineStr">
        <is>
          <t>P1</t>
        </is>
      </c>
      <c r="D554" t="inlineStr">
        <is>
          <t>원료혼합</t>
        </is>
      </c>
      <c r="E554" t="inlineStr">
        <is>
          <t>MX-01</t>
        </is>
      </c>
      <c r="F554" t="n">
        <v>480</v>
      </c>
      <c r="G554" t="n">
        <v>17</v>
      </c>
      <c r="H554" t="inlineStr">
        <is>
          <t>청소</t>
        </is>
      </c>
      <c r="I554" t="n">
        <v>5</v>
      </c>
      <c r="J554" t="n">
        <v>5359</v>
      </c>
      <c r="K554" t="n">
        <v>5331</v>
      </c>
      <c r="L554" t="inlineStr">
        <is>
          <t>L-0720</t>
        </is>
      </c>
      <c r="M554">
        <f>F554-G554</f>
        <v/>
      </c>
      <c r="N554" s="2">
        <f>M554/F554</f>
        <v/>
      </c>
      <c r="O554" s="2">
        <f>I554*J554/60/M554</f>
        <v/>
      </c>
      <c r="P554" s="2">
        <f>K554/J554</f>
        <v/>
      </c>
      <c r="Q554" s="2">
        <f>N554*O554*P554</f>
        <v/>
      </c>
    </row>
    <row r="555">
      <c r="A555" t="inlineStr">
        <is>
          <t>2026-07-24</t>
        </is>
      </c>
      <c r="B555" t="inlineStr">
        <is>
          <t>주간</t>
        </is>
      </c>
      <c r="C555" t="inlineStr">
        <is>
          <t>P1</t>
        </is>
      </c>
      <c r="D555" t="inlineStr">
        <is>
          <t>원료혼합</t>
        </is>
      </c>
      <c r="E555" t="inlineStr">
        <is>
          <t>MX-02</t>
        </is>
      </c>
      <c r="F555" t="n">
        <v>480</v>
      </c>
      <c r="G555" t="n">
        <v>12</v>
      </c>
      <c r="H555" t="inlineStr">
        <is>
          <t>원료 대기</t>
        </is>
      </c>
      <c r="I555" t="n">
        <v>5</v>
      </c>
      <c r="J555" t="n">
        <v>5387</v>
      </c>
      <c r="K555" t="n">
        <v>5354</v>
      </c>
      <c r="L555" t="inlineStr">
        <is>
          <t>L-0720</t>
        </is>
      </c>
      <c r="M555">
        <f>F555-G555</f>
        <v/>
      </c>
      <c r="N555" s="2">
        <f>M555/F555</f>
        <v/>
      </c>
      <c r="O555" s="2">
        <f>I555*J555/60/M555</f>
        <v/>
      </c>
      <c r="P555" s="2">
        <f>K555/J555</f>
        <v/>
      </c>
      <c r="Q555" s="2">
        <f>N555*O555*P555</f>
        <v/>
      </c>
    </row>
    <row r="556">
      <c r="A556" t="inlineStr">
        <is>
          <t>2026-07-24</t>
        </is>
      </c>
      <c r="B556" t="inlineStr">
        <is>
          <t>주간</t>
        </is>
      </c>
      <c r="C556" t="inlineStr">
        <is>
          <t>P2</t>
        </is>
      </c>
      <c r="D556" t="inlineStr">
        <is>
          <t>성형</t>
        </is>
      </c>
      <c r="E556" t="inlineStr">
        <is>
          <t>PR-01</t>
        </is>
      </c>
      <c r="F556" t="n">
        <v>480</v>
      </c>
      <c r="G556" t="n">
        <v>6</v>
      </c>
      <c r="H556" t="inlineStr">
        <is>
          <t>압력 이상</t>
        </is>
      </c>
      <c r="I556" t="n">
        <v>6</v>
      </c>
      <c r="J556" t="n">
        <v>4423</v>
      </c>
      <c r="K556" t="n">
        <v>4373</v>
      </c>
      <c r="L556" t="inlineStr">
        <is>
          <t>L-0720</t>
        </is>
      </c>
      <c r="M556">
        <f>F556-G556</f>
        <v/>
      </c>
      <c r="N556" s="2">
        <f>M556/F556</f>
        <v/>
      </c>
      <c r="O556" s="2">
        <f>I556*J556/60/M556</f>
        <v/>
      </c>
      <c r="P556" s="2">
        <f>K556/J556</f>
        <v/>
      </c>
      <c r="Q556" s="2">
        <f>N556*O556*P556</f>
        <v/>
      </c>
    </row>
    <row r="557">
      <c r="A557" t="inlineStr">
        <is>
          <t>2026-07-24</t>
        </is>
      </c>
      <c r="B557" t="inlineStr">
        <is>
          <t>주간</t>
        </is>
      </c>
      <c r="C557" t="inlineStr">
        <is>
          <t>P2</t>
        </is>
      </c>
      <c r="D557" t="inlineStr">
        <is>
          <t>성형</t>
        </is>
      </c>
      <c r="E557" t="inlineStr">
        <is>
          <t>PR-02</t>
        </is>
      </c>
      <c r="F557" t="n">
        <v>480</v>
      </c>
      <c r="G557" t="n">
        <v>11</v>
      </c>
      <c r="H557" t="inlineStr">
        <is>
          <t>분말 공급 지연</t>
        </is>
      </c>
      <c r="I557" t="n">
        <v>6</v>
      </c>
      <c r="J557" t="n">
        <v>4223</v>
      </c>
      <c r="K557" t="n">
        <v>4179</v>
      </c>
      <c r="L557" t="inlineStr">
        <is>
          <t>L-0720</t>
        </is>
      </c>
      <c r="M557">
        <f>F557-G557</f>
        <v/>
      </c>
      <c r="N557" s="2">
        <f>M557/F557</f>
        <v/>
      </c>
      <c r="O557" s="2">
        <f>I557*J557/60/M557</f>
        <v/>
      </c>
      <c r="P557" s="2">
        <f>K557/J557</f>
        <v/>
      </c>
      <c r="Q557" s="2">
        <f>N557*O557*P557</f>
        <v/>
      </c>
    </row>
    <row r="558">
      <c r="A558" t="inlineStr">
        <is>
          <t>2026-07-24</t>
        </is>
      </c>
      <c r="B558" t="inlineStr">
        <is>
          <t>주간</t>
        </is>
      </c>
      <c r="C558" t="inlineStr">
        <is>
          <t>P3</t>
        </is>
      </c>
      <c r="D558" t="inlineStr">
        <is>
          <t>소결</t>
        </is>
      </c>
      <c r="E558" t="inlineStr">
        <is>
          <t>SF-01</t>
        </is>
      </c>
      <c r="F558" t="n">
        <v>480</v>
      </c>
      <c r="G558" t="n">
        <v>25</v>
      </c>
      <c r="H558" t="inlineStr">
        <is>
          <t>장입 대기</t>
        </is>
      </c>
      <c r="I558" t="n">
        <v>6.5</v>
      </c>
      <c r="J558" t="n">
        <v>3999</v>
      </c>
      <c r="K558" t="n">
        <v>3911</v>
      </c>
      <c r="L558" t="inlineStr">
        <is>
          <t>L-0720</t>
        </is>
      </c>
      <c r="M558">
        <f>F558-G558</f>
        <v/>
      </c>
      <c r="N558" s="2">
        <f>M558/F558</f>
        <v/>
      </c>
      <c r="O558" s="2">
        <f>I558*J558/60/M558</f>
        <v/>
      </c>
      <c r="P558" s="2">
        <f>K558/J558</f>
        <v/>
      </c>
      <c r="Q558" s="2">
        <f>N558*O558*P558</f>
        <v/>
      </c>
    </row>
    <row r="559">
      <c r="A559" t="inlineStr">
        <is>
          <t>2026-07-24</t>
        </is>
      </c>
      <c r="B559" t="inlineStr">
        <is>
          <t>주간</t>
        </is>
      </c>
      <c r="C559" t="inlineStr">
        <is>
          <t>P3</t>
        </is>
      </c>
      <c r="D559" t="inlineStr">
        <is>
          <t>소결</t>
        </is>
      </c>
      <c r="E559" t="inlineStr">
        <is>
          <t>SF-02</t>
        </is>
      </c>
      <c r="F559" t="n">
        <v>480</v>
      </c>
      <c r="G559" t="n">
        <v>30</v>
      </c>
      <c r="H559" t="inlineStr">
        <is>
          <t>승온 대기</t>
        </is>
      </c>
      <c r="I559" t="n">
        <v>6.5</v>
      </c>
      <c r="J559" t="n">
        <v>3647</v>
      </c>
      <c r="K559" t="n">
        <v>3581</v>
      </c>
      <c r="L559" t="inlineStr">
        <is>
          <t>L-0720</t>
        </is>
      </c>
      <c r="M559">
        <f>F559-G559</f>
        <v/>
      </c>
      <c r="N559" s="2">
        <f>M559/F559</f>
        <v/>
      </c>
      <c r="O559" s="2">
        <f>I559*J559/60/M559</f>
        <v/>
      </c>
      <c r="P559" s="2">
        <f>K559/J559</f>
        <v/>
      </c>
      <c r="Q559" s="2">
        <f>N559*O559*P559</f>
        <v/>
      </c>
    </row>
    <row r="560">
      <c r="A560" t="inlineStr">
        <is>
          <t>2026-07-24</t>
        </is>
      </c>
      <c r="B560" t="inlineStr">
        <is>
          <t>주간</t>
        </is>
      </c>
      <c r="C560" t="inlineStr">
        <is>
          <t>P4</t>
        </is>
      </c>
      <c r="D560" t="inlineStr">
        <is>
          <t>연삭</t>
        </is>
      </c>
      <c r="E560" t="inlineStr">
        <is>
          <t>GR-01</t>
        </is>
      </c>
      <c r="F560" t="n">
        <v>480</v>
      </c>
      <c r="G560" t="n">
        <v>76</v>
      </c>
      <c r="H560" t="inlineStr">
        <is>
          <t>드레싱</t>
        </is>
      </c>
      <c r="I560" t="n">
        <v>6.2</v>
      </c>
      <c r="J560" t="n">
        <v>3626</v>
      </c>
      <c r="K560" t="n">
        <v>3587</v>
      </c>
      <c r="L560" t="inlineStr">
        <is>
          <t>L-0720</t>
        </is>
      </c>
      <c r="M560">
        <f>F560-G560</f>
        <v/>
      </c>
      <c r="N560" s="2">
        <f>M560/F560</f>
        <v/>
      </c>
      <c r="O560" s="2">
        <f>I560*J560/60/M560</f>
        <v/>
      </c>
      <c r="P560" s="2">
        <f>K560/J560</f>
        <v/>
      </c>
      <c r="Q560" s="2">
        <f>N560*O560*P560</f>
        <v/>
      </c>
    </row>
    <row r="561">
      <c r="A561" t="inlineStr">
        <is>
          <t>2026-07-24</t>
        </is>
      </c>
      <c r="B561" t="inlineStr">
        <is>
          <t>주간</t>
        </is>
      </c>
      <c r="C561" t="inlineStr">
        <is>
          <t>P4</t>
        </is>
      </c>
      <c r="D561" t="inlineStr">
        <is>
          <t>연삭</t>
        </is>
      </c>
      <c r="E561" t="inlineStr">
        <is>
          <t>GR-02</t>
        </is>
      </c>
      <c r="F561" t="n">
        <v>480</v>
      </c>
      <c r="G561" t="n">
        <v>44</v>
      </c>
      <c r="H561" t="inlineStr">
        <is>
          <t>드레싱</t>
        </is>
      </c>
      <c r="I561" t="n">
        <v>6.2</v>
      </c>
      <c r="J561" t="n">
        <v>4177</v>
      </c>
      <c r="K561" t="n">
        <v>4139</v>
      </c>
      <c r="L561" t="inlineStr">
        <is>
          <t>L-0720</t>
        </is>
      </c>
      <c r="M561">
        <f>F561-G561</f>
        <v/>
      </c>
      <c r="N561" s="2">
        <f>M561/F561</f>
        <v/>
      </c>
      <c r="O561" s="2">
        <f>I561*J561/60/M561</f>
        <v/>
      </c>
      <c r="P561" s="2">
        <f>K561/J561</f>
        <v/>
      </c>
      <c r="Q561" s="2">
        <f>N561*O561*P561</f>
        <v/>
      </c>
    </row>
    <row r="562">
      <c r="A562" t="inlineStr">
        <is>
          <t>2026-07-24</t>
        </is>
      </c>
      <c r="B562" t="inlineStr">
        <is>
          <t>주간</t>
        </is>
      </c>
      <c r="C562" t="inlineStr">
        <is>
          <t>P5</t>
        </is>
      </c>
      <c r="D562" t="inlineStr">
        <is>
          <t>검사</t>
        </is>
      </c>
      <c r="E562" t="inlineStr">
        <is>
          <t>IN-01</t>
        </is>
      </c>
      <c r="F562" t="n">
        <v>480</v>
      </c>
      <c r="G562" t="n">
        <v>14</v>
      </c>
      <c r="H562" t="inlineStr">
        <is>
          <t>측정기 교정</t>
        </is>
      </c>
      <c r="I562" t="n">
        <v>5.5</v>
      </c>
      <c r="J562" t="n">
        <v>4797</v>
      </c>
      <c r="K562" t="n">
        <v>4783</v>
      </c>
      <c r="L562" t="inlineStr">
        <is>
          <t>L-0720</t>
        </is>
      </c>
      <c r="M562">
        <f>F562-G562</f>
        <v/>
      </c>
      <c r="N562" s="2">
        <f>M562/F562</f>
        <v/>
      </c>
      <c r="O562" s="2">
        <f>I562*J562/60/M562</f>
        <v/>
      </c>
      <c r="P562" s="2">
        <f>K562/J562</f>
        <v/>
      </c>
      <c r="Q562" s="2">
        <f>N562*O562*P562</f>
        <v/>
      </c>
    </row>
    <row r="563">
      <c r="A563" t="inlineStr">
        <is>
          <t>2026-07-24</t>
        </is>
      </c>
      <c r="B563" t="inlineStr">
        <is>
          <t>주간</t>
        </is>
      </c>
      <c r="C563" t="inlineStr">
        <is>
          <t>P5</t>
        </is>
      </c>
      <c r="D563" t="inlineStr">
        <is>
          <t>검사</t>
        </is>
      </c>
      <c r="E563" t="inlineStr">
        <is>
          <t>IN-02</t>
        </is>
      </c>
      <c r="F563" t="n">
        <v>480</v>
      </c>
      <c r="G563" t="n">
        <v>57</v>
      </c>
      <c r="H563" t="inlineStr">
        <is>
          <t>샘플 재검</t>
        </is>
      </c>
      <c r="I563" t="n">
        <v>5.5</v>
      </c>
      <c r="J563" t="n">
        <v>4195</v>
      </c>
      <c r="K563" t="n">
        <v>4183</v>
      </c>
      <c r="L563" t="inlineStr">
        <is>
          <t>L-0720</t>
        </is>
      </c>
      <c r="M563">
        <f>F563-G563</f>
        <v/>
      </c>
      <c r="N563" s="2">
        <f>M563/F563</f>
        <v/>
      </c>
      <c r="O563" s="2">
        <f>I563*J563/60/M563</f>
        <v/>
      </c>
      <c r="P563" s="2">
        <f>K563/J563</f>
        <v/>
      </c>
      <c r="Q563" s="2">
        <f>N563*O563*P563</f>
        <v/>
      </c>
    </row>
    <row r="564">
      <c r="A564" t="inlineStr">
        <is>
          <t>2026-07-24</t>
        </is>
      </c>
      <c r="B564" t="inlineStr">
        <is>
          <t>주간</t>
        </is>
      </c>
      <c r="C564" t="inlineStr">
        <is>
          <t>P6</t>
        </is>
      </c>
      <c r="D564" t="inlineStr">
        <is>
          <t>포장</t>
        </is>
      </c>
      <c r="E564" t="inlineStr">
        <is>
          <t>PK-01</t>
        </is>
      </c>
      <c r="F564" t="n">
        <v>480</v>
      </c>
      <c r="G564" t="n">
        <v>7</v>
      </c>
      <c r="H564" t="inlineStr">
        <is>
          <t>라벨 교체</t>
        </is>
      </c>
      <c r="I564" t="n">
        <v>4.8</v>
      </c>
      <c r="J564" t="n">
        <v>5624</v>
      </c>
      <c r="K564" t="n">
        <v>5614</v>
      </c>
      <c r="L564" t="inlineStr">
        <is>
          <t>L-0720</t>
        </is>
      </c>
      <c r="M564">
        <f>F564-G564</f>
        <v/>
      </c>
      <c r="N564" s="2">
        <f>M564/F564</f>
        <v/>
      </c>
      <c r="O564" s="2">
        <f>I564*J564/60/M564</f>
        <v/>
      </c>
      <c r="P564" s="2">
        <f>K564/J564</f>
        <v/>
      </c>
      <c r="Q564" s="2">
        <f>N564*O564*P564</f>
        <v/>
      </c>
    </row>
    <row r="565">
      <c r="A565" t="inlineStr">
        <is>
          <t>2026-07-24</t>
        </is>
      </c>
      <c r="B565" t="inlineStr">
        <is>
          <t>주간</t>
        </is>
      </c>
      <c r="C565" t="inlineStr">
        <is>
          <t>P6</t>
        </is>
      </c>
      <c r="D565" t="inlineStr">
        <is>
          <t>포장</t>
        </is>
      </c>
      <c r="E565" t="inlineStr">
        <is>
          <t>PK-02</t>
        </is>
      </c>
      <c r="F565" t="n">
        <v>480</v>
      </c>
      <c r="G565" t="n">
        <v>17</v>
      </c>
      <c r="H565" t="inlineStr">
        <is>
          <t>라벨 교체</t>
        </is>
      </c>
      <c r="I565" t="n">
        <v>4.8</v>
      </c>
      <c r="J565" t="n">
        <v>5385</v>
      </c>
      <c r="K565" t="n">
        <v>5377</v>
      </c>
      <c r="L565" t="inlineStr">
        <is>
          <t>L-0720</t>
        </is>
      </c>
      <c r="M565">
        <f>F565-G565</f>
        <v/>
      </c>
      <c r="N565" s="2">
        <f>M565/F565</f>
        <v/>
      </c>
      <c r="O565" s="2">
        <f>I565*J565/60/M565</f>
        <v/>
      </c>
      <c r="P565" s="2">
        <f>K565/J565</f>
        <v/>
      </c>
      <c r="Q565" s="2">
        <f>N565*O565*P565</f>
        <v/>
      </c>
    </row>
    <row r="566">
      <c r="A566" t="inlineStr">
        <is>
          <t>2026-07-24</t>
        </is>
      </c>
      <c r="B566" t="inlineStr">
        <is>
          <t>야간</t>
        </is>
      </c>
      <c r="C566" t="inlineStr">
        <is>
          <t>P1</t>
        </is>
      </c>
      <c r="D566" t="inlineStr">
        <is>
          <t>원료혼합</t>
        </is>
      </c>
      <c r="E566" t="inlineStr">
        <is>
          <t>MX-01</t>
        </is>
      </c>
      <c r="F566" t="n">
        <v>480</v>
      </c>
      <c r="G566" t="n">
        <v>28</v>
      </c>
      <c r="H566" t="inlineStr">
        <is>
          <t>원료 대기</t>
        </is>
      </c>
      <c r="I566" t="n">
        <v>5</v>
      </c>
      <c r="J566" t="n">
        <v>5063</v>
      </c>
      <c r="K566" t="n">
        <v>5025</v>
      </c>
      <c r="L566" t="inlineStr">
        <is>
          <t>L-0720</t>
        </is>
      </c>
      <c r="M566">
        <f>F566-G566</f>
        <v/>
      </c>
      <c r="N566" s="2">
        <f>M566/F566</f>
        <v/>
      </c>
      <c r="O566" s="2">
        <f>I566*J566/60/M566</f>
        <v/>
      </c>
      <c r="P566" s="2">
        <f>K566/J566</f>
        <v/>
      </c>
      <c r="Q566" s="2">
        <f>N566*O566*P566</f>
        <v/>
      </c>
    </row>
    <row r="567">
      <c r="A567" t="inlineStr">
        <is>
          <t>2026-07-24</t>
        </is>
      </c>
      <c r="B567" t="inlineStr">
        <is>
          <t>야간</t>
        </is>
      </c>
      <c r="C567" t="inlineStr">
        <is>
          <t>P1</t>
        </is>
      </c>
      <c r="D567" t="inlineStr">
        <is>
          <t>원료혼합</t>
        </is>
      </c>
      <c r="E567" t="inlineStr">
        <is>
          <t>MX-02</t>
        </is>
      </c>
      <c r="F567" t="n">
        <v>480</v>
      </c>
      <c r="G567" t="n">
        <v>31</v>
      </c>
      <c r="H567" t="inlineStr">
        <is>
          <t>청소</t>
        </is>
      </c>
      <c r="I567" t="n">
        <v>5</v>
      </c>
      <c r="J567" t="n">
        <v>5137</v>
      </c>
      <c r="K567" t="n">
        <v>5100</v>
      </c>
      <c r="L567" t="inlineStr">
        <is>
          <t>L-0720</t>
        </is>
      </c>
      <c r="M567">
        <f>F567-G567</f>
        <v/>
      </c>
      <c r="N567" s="2">
        <f>M567/F567</f>
        <v/>
      </c>
      <c r="O567" s="2">
        <f>I567*J567/60/M567</f>
        <v/>
      </c>
      <c r="P567" s="2">
        <f>K567/J567</f>
        <v/>
      </c>
      <c r="Q567" s="2">
        <f>N567*O567*P567</f>
        <v/>
      </c>
    </row>
    <row r="568">
      <c r="A568" t="inlineStr">
        <is>
          <t>2026-07-24</t>
        </is>
      </c>
      <c r="B568" t="inlineStr">
        <is>
          <t>야간</t>
        </is>
      </c>
      <c r="C568" t="inlineStr">
        <is>
          <t>P2</t>
        </is>
      </c>
      <c r="D568" t="inlineStr">
        <is>
          <t>성형</t>
        </is>
      </c>
      <c r="E568" t="inlineStr">
        <is>
          <t>PR-01</t>
        </is>
      </c>
      <c r="F568" t="n">
        <v>480</v>
      </c>
      <c r="G568" t="n">
        <v>51</v>
      </c>
      <c r="H568" t="inlineStr">
        <is>
          <t>분말 공급 지연</t>
        </is>
      </c>
      <c r="I568" t="n">
        <v>6</v>
      </c>
      <c r="J568" t="n">
        <v>4224</v>
      </c>
      <c r="K568" t="n">
        <v>4172</v>
      </c>
      <c r="L568" t="inlineStr">
        <is>
          <t>L-0720</t>
        </is>
      </c>
      <c r="M568">
        <f>F568-G568</f>
        <v/>
      </c>
      <c r="N568" s="2">
        <f>M568/F568</f>
        <v/>
      </c>
      <c r="O568" s="2">
        <f>I568*J568/60/M568</f>
        <v/>
      </c>
      <c r="P568" s="2">
        <f>K568/J568</f>
        <v/>
      </c>
      <c r="Q568" s="2">
        <f>N568*O568*P568</f>
        <v/>
      </c>
    </row>
    <row r="569">
      <c r="A569" t="inlineStr">
        <is>
          <t>2026-07-24</t>
        </is>
      </c>
      <c r="B569" t="inlineStr">
        <is>
          <t>야간</t>
        </is>
      </c>
      <c r="C569" t="inlineStr">
        <is>
          <t>P2</t>
        </is>
      </c>
      <c r="D569" t="inlineStr">
        <is>
          <t>성형</t>
        </is>
      </c>
      <c r="E569" t="inlineStr">
        <is>
          <t>PR-02</t>
        </is>
      </c>
      <c r="F569" t="n">
        <v>480</v>
      </c>
      <c r="G569" t="n">
        <v>48</v>
      </c>
      <c r="H569" t="inlineStr">
        <is>
          <t>압력 이상</t>
        </is>
      </c>
      <c r="I569" t="n">
        <v>6</v>
      </c>
      <c r="J569" t="n">
        <v>4163</v>
      </c>
      <c r="K569" t="n">
        <v>4124</v>
      </c>
      <c r="L569" t="inlineStr">
        <is>
          <t>L-0720</t>
        </is>
      </c>
      <c r="M569">
        <f>F569-G569</f>
        <v/>
      </c>
      <c r="N569" s="2">
        <f>M569/F569</f>
        <v/>
      </c>
      <c r="O569" s="2">
        <f>I569*J569/60/M569</f>
        <v/>
      </c>
      <c r="P569" s="2">
        <f>K569/J569</f>
        <v/>
      </c>
      <c r="Q569" s="2">
        <f>N569*O569*P569</f>
        <v/>
      </c>
    </row>
    <row r="570">
      <c r="A570" t="inlineStr">
        <is>
          <t>2026-07-24</t>
        </is>
      </c>
      <c r="B570" t="inlineStr">
        <is>
          <t>야간</t>
        </is>
      </c>
      <c r="C570" t="inlineStr">
        <is>
          <t>P3</t>
        </is>
      </c>
      <c r="D570" t="inlineStr">
        <is>
          <t>소결</t>
        </is>
      </c>
      <c r="E570" t="inlineStr">
        <is>
          <t>SF-01</t>
        </is>
      </c>
      <c r="F570" t="n">
        <v>480</v>
      </c>
      <c r="G570" t="n">
        <v>27</v>
      </c>
      <c r="H570" t="inlineStr">
        <is>
          <t>온도 이상 정지</t>
        </is>
      </c>
      <c r="I570" t="n">
        <v>6.5</v>
      </c>
      <c r="J570" t="n">
        <v>3856</v>
      </c>
      <c r="K570" t="n">
        <v>3730</v>
      </c>
      <c r="L570" t="inlineStr">
        <is>
          <t>L-0720</t>
        </is>
      </c>
      <c r="M570">
        <f>F570-G570</f>
        <v/>
      </c>
      <c r="N570" s="2">
        <f>M570/F570</f>
        <v/>
      </c>
      <c r="O570" s="2">
        <f>I570*J570/60/M570</f>
        <v/>
      </c>
      <c r="P570" s="2">
        <f>K570/J570</f>
        <v/>
      </c>
      <c r="Q570" s="2">
        <f>N570*O570*P570</f>
        <v/>
      </c>
    </row>
    <row r="571">
      <c r="A571" t="inlineStr">
        <is>
          <t>2026-07-24</t>
        </is>
      </c>
      <c r="B571" t="inlineStr">
        <is>
          <t>야간</t>
        </is>
      </c>
      <c r="C571" t="inlineStr">
        <is>
          <t>P3</t>
        </is>
      </c>
      <c r="D571" t="inlineStr">
        <is>
          <t>소결</t>
        </is>
      </c>
      <c r="E571" t="inlineStr">
        <is>
          <t>SF-02</t>
        </is>
      </c>
      <c r="F571" t="n">
        <v>480</v>
      </c>
      <c r="G571" t="n">
        <v>30</v>
      </c>
      <c r="H571" t="inlineStr">
        <is>
          <t>온도 이상 정지</t>
        </is>
      </c>
      <c r="I571" t="n">
        <v>6.5</v>
      </c>
      <c r="J571" t="n">
        <v>3734</v>
      </c>
      <c r="K571" t="n">
        <v>3666</v>
      </c>
      <c r="L571" t="inlineStr">
        <is>
          <t>L-0720</t>
        </is>
      </c>
      <c r="M571">
        <f>F571-G571</f>
        <v/>
      </c>
      <c r="N571" s="2">
        <f>M571/F571</f>
        <v/>
      </c>
      <c r="O571" s="2">
        <f>I571*J571/60/M571</f>
        <v/>
      </c>
      <c r="P571" s="2">
        <f>K571/J571</f>
        <v/>
      </c>
      <c r="Q571" s="2">
        <f>N571*O571*P571</f>
        <v/>
      </c>
    </row>
    <row r="572">
      <c r="A572" t="inlineStr">
        <is>
          <t>2026-07-24</t>
        </is>
      </c>
      <c r="B572" t="inlineStr">
        <is>
          <t>야간</t>
        </is>
      </c>
      <c r="C572" t="inlineStr">
        <is>
          <t>P4</t>
        </is>
      </c>
      <c r="D572" t="inlineStr">
        <is>
          <t>연삭</t>
        </is>
      </c>
      <c r="E572" t="inlineStr">
        <is>
          <t>GR-01</t>
        </is>
      </c>
      <c r="F572" t="n">
        <v>480</v>
      </c>
      <c r="G572" t="n">
        <v>72</v>
      </c>
      <c r="H572" t="inlineStr">
        <is>
          <t>공구 교체</t>
        </is>
      </c>
      <c r="I572" t="n">
        <v>6.2</v>
      </c>
      <c r="J572" t="n">
        <v>3736</v>
      </c>
      <c r="K572" t="n">
        <v>3692</v>
      </c>
      <c r="L572" t="inlineStr">
        <is>
          <t>L-0720</t>
        </is>
      </c>
      <c r="M572">
        <f>F572-G572</f>
        <v/>
      </c>
      <c r="N572" s="2">
        <f>M572/F572</f>
        <v/>
      </c>
      <c r="O572" s="2">
        <f>I572*J572/60/M572</f>
        <v/>
      </c>
      <c r="P572" s="2">
        <f>K572/J572</f>
        <v/>
      </c>
      <c r="Q572" s="2">
        <f>N572*O572*P572</f>
        <v/>
      </c>
    </row>
    <row r="573">
      <c r="A573" t="inlineStr">
        <is>
          <t>2026-07-24</t>
        </is>
      </c>
      <c r="B573" t="inlineStr">
        <is>
          <t>야간</t>
        </is>
      </c>
      <c r="C573" t="inlineStr">
        <is>
          <t>P4</t>
        </is>
      </c>
      <c r="D573" t="inlineStr">
        <is>
          <t>연삭</t>
        </is>
      </c>
      <c r="E573" t="inlineStr">
        <is>
          <t>GR-02</t>
        </is>
      </c>
      <c r="F573" t="n">
        <v>480</v>
      </c>
      <c r="G573" t="n">
        <v>67</v>
      </c>
      <c r="H573" t="inlineStr">
        <is>
          <t>드레싱</t>
        </is>
      </c>
      <c r="I573" t="n">
        <v>6.2</v>
      </c>
      <c r="J573" t="n">
        <v>3635</v>
      </c>
      <c r="K573" t="n">
        <v>3584</v>
      </c>
      <c r="L573" t="inlineStr">
        <is>
          <t>L-0720</t>
        </is>
      </c>
      <c r="M573">
        <f>F573-G573</f>
        <v/>
      </c>
      <c r="N573" s="2">
        <f>M573/F573</f>
        <v/>
      </c>
      <c r="O573" s="2">
        <f>I573*J573/60/M573</f>
        <v/>
      </c>
      <c r="P573" s="2">
        <f>K573/J573</f>
        <v/>
      </c>
      <c r="Q573" s="2">
        <f>N573*O573*P573</f>
        <v/>
      </c>
    </row>
    <row r="574">
      <c r="A574" t="inlineStr">
        <is>
          <t>2026-07-24</t>
        </is>
      </c>
      <c r="B574" t="inlineStr">
        <is>
          <t>야간</t>
        </is>
      </c>
      <c r="C574" t="inlineStr">
        <is>
          <t>P5</t>
        </is>
      </c>
      <c r="D574" t="inlineStr">
        <is>
          <t>검사</t>
        </is>
      </c>
      <c r="E574" t="inlineStr">
        <is>
          <t>IN-01</t>
        </is>
      </c>
      <c r="F574" t="n">
        <v>480</v>
      </c>
      <c r="G574" t="n">
        <v>45</v>
      </c>
      <c r="H574" t="inlineStr">
        <is>
          <t>측정기 교정</t>
        </is>
      </c>
      <c r="I574" t="n">
        <v>5.5</v>
      </c>
      <c r="J574" t="n">
        <v>4439</v>
      </c>
      <c r="K574" t="n">
        <v>4419</v>
      </c>
      <c r="L574" t="inlineStr">
        <is>
          <t>L-0720</t>
        </is>
      </c>
      <c r="M574">
        <f>F574-G574</f>
        <v/>
      </c>
      <c r="N574" s="2">
        <f>M574/F574</f>
        <v/>
      </c>
      <c r="O574" s="2">
        <f>I574*J574/60/M574</f>
        <v/>
      </c>
      <c r="P574" s="2">
        <f>K574/J574</f>
        <v/>
      </c>
      <c r="Q574" s="2">
        <f>N574*O574*P574</f>
        <v/>
      </c>
    </row>
    <row r="575">
      <c r="A575" t="inlineStr">
        <is>
          <t>2026-07-24</t>
        </is>
      </c>
      <c r="B575" t="inlineStr">
        <is>
          <t>야간</t>
        </is>
      </c>
      <c r="C575" t="inlineStr">
        <is>
          <t>P5</t>
        </is>
      </c>
      <c r="D575" t="inlineStr">
        <is>
          <t>검사</t>
        </is>
      </c>
      <c r="E575" t="inlineStr">
        <is>
          <t>IN-02</t>
        </is>
      </c>
      <c r="F575" t="n">
        <v>480</v>
      </c>
      <c r="G575" t="n">
        <v>6</v>
      </c>
      <c r="H575" t="inlineStr">
        <is>
          <t>샘플 재검</t>
        </is>
      </c>
      <c r="I575" t="n">
        <v>5.5</v>
      </c>
      <c r="J575" t="n">
        <v>4848</v>
      </c>
      <c r="K575" t="n">
        <v>4832</v>
      </c>
      <c r="L575" t="inlineStr">
        <is>
          <t>L-0720</t>
        </is>
      </c>
      <c r="M575">
        <f>F575-G575</f>
        <v/>
      </c>
      <c r="N575" s="2">
        <f>M575/F575</f>
        <v/>
      </c>
      <c r="O575" s="2">
        <f>I575*J575/60/M575</f>
        <v/>
      </c>
      <c r="P575" s="2">
        <f>K575/J575</f>
        <v/>
      </c>
      <c r="Q575" s="2">
        <f>N575*O575*P575</f>
        <v/>
      </c>
    </row>
    <row r="576">
      <c r="A576" t="inlineStr">
        <is>
          <t>2026-07-24</t>
        </is>
      </c>
      <c r="B576" t="inlineStr">
        <is>
          <t>야간</t>
        </is>
      </c>
      <c r="C576" t="inlineStr">
        <is>
          <t>P6</t>
        </is>
      </c>
      <c r="D576" t="inlineStr">
        <is>
          <t>포장</t>
        </is>
      </c>
      <c r="E576" t="inlineStr">
        <is>
          <t>PK-01</t>
        </is>
      </c>
      <c r="F576" t="n">
        <v>480</v>
      </c>
      <c r="G576" t="n">
        <v>30</v>
      </c>
      <c r="H576" t="inlineStr">
        <is>
          <t>라벨 교체</t>
        </is>
      </c>
      <c r="I576" t="n">
        <v>4.8</v>
      </c>
      <c r="J576" t="n">
        <v>5313</v>
      </c>
      <c r="K576" t="n">
        <v>5296</v>
      </c>
      <c r="L576" t="inlineStr">
        <is>
          <t>L-0720</t>
        </is>
      </c>
      <c r="M576">
        <f>F576-G576</f>
        <v/>
      </c>
      <c r="N576" s="2">
        <f>M576/F576</f>
        <v/>
      </c>
      <c r="O576" s="2">
        <f>I576*J576/60/M576</f>
        <v/>
      </c>
      <c r="P576" s="2">
        <f>K576/J576</f>
        <v/>
      </c>
      <c r="Q576" s="2">
        <f>N576*O576*P576</f>
        <v/>
      </c>
    </row>
    <row r="577">
      <c r="A577" t="inlineStr">
        <is>
          <t>2026-07-24</t>
        </is>
      </c>
      <c r="B577" t="inlineStr">
        <is>
          <t>야간</t>
        </is>
      </c>
      <c r="C577" t="inlineStr">
        <is>
          <t>P6</t>
        </is>
      </c>
      <c r="D577" t="inlineStr">
        <is>
          <t>포장</t>
        </is>
      </c>
      <c r="E577" t="inlineStr">
        <is>
          <t>PK-02</t>
        </is>
      </c>
      <c r="F577" t="n">
        <v>480</v>
      </c>
      <c r="G577" t="n">
        <v>64</v>
      </c>
      <c r="H577" t="inlineStr">
        <is>
          <t>라벨 교체</t>
        </is>
      </c>
      <c r="I577" t="n">
        <v>4.8</v>
      </c>
      <c r="J577" t="n">
        <v>4945</v>
      </c>
      <c r="K577" t="n">
        <v>4930</v>
      </c>
      <c r="L577" t="inlineStr">
        <is>
          <t>L-0720</t>
        </is>
      </c>
      <c r="M577">
        <f>F577-G577</f>
        <v/>
      </c>
      <c r="N577" s="2">
        <f>M577/F577</f>
        <v/>
      </c>
      <c r="O577" s="2">
        <f>I577*J577/60/M577</f>
        <v/>
      </c>
      <c r="P577" s="2">
        <f>K577/J577</f>
        <v/>
      </c>
      <c r="Q577" s="2">
        <f>N577*O577*P577</f>
        <v/>
      </c>
    </row>
    <row r="578">
      <c r="A578" t="inlineStr">
        <is>
          <t>2026-07-25</t>
        </is>
      </c>
      <c r="B578" t="inlineStr">
        <is>
          <t>주간</t>
        </is>
      </c>
      <c r="C578" t="inlineStr">
        <is>
          <t>P1</t>
        </is>
      </c>
      <c r="D578" t="inlineStr">
        <is>
          <t>원료혼합</t>
        </is>
      </c>
      <c r="E578" t="inlineStr">
        <is>
          <t>MX-01</t>
        </is>
      </c>
      <c r="F578" t="n">
        <v>480</v>
      </c>
      <c r="G578" t="n">
        <v>29</v>
      </c>
      <c r="H578" t="inlineStr">
        <is>
          <t>청소</t>
        </is>
      </c>
      <c r="I578" t="n">
        <v>5</v>
      </c>
      <c r="J578" t="n">
        <v>5110</v>
      </c>
      <c r="K578" t="n">
        <v>5079</v>
      </c>
      <c r="L578" t="inlineStr">
        <is>
          <t>L-0720</t>
        </is>
      </c>
      <c r="M578">
        <f>F578-G578</f>
        <v/>
      </c>
      <c r="N578" s="2">
        <f>M578/F578</f>
        <v/>
      </c>
      <c r="O578" s="2">
        <f>I578*J578/60/M578</f>
        <v/>
      </c>
      <c r="P578" s="2">
        <f>K578/J578</f>
        <v/>
      </c>
      <c r="Q578" s="2">
        <f>N578*O578*P578</f>
        <v/>
      </c>
    </row>
    <row r="579">
      <c r="A579" t="inlineStr">
        <is>
          <t>2026-07-25</t>
        </is>
      </c>
      <c r="B579" t="inlineStr">
        <is>
          <t>주간</t>
        </is>
      </c>
      <c r="C579" t="inlineStr">
        <is>
          <t>P1</t>
        </is>
      </c>
      <c r="D579" t="inlineStr">
        <is>
          <t>원료혼합</t>
        </is>
      </c>
      <c r="E579" t="inlineStr">
        <is>
          <t>MX-02</t>
        </is>
      </c>
      <c r="F579" t="n">
        <v>480</v>
      </c>
      <c r="G579" t="n">
        <v>27</v>
      </c>
      <c r="H579" t="inlineStr">
        <is>
          <t>청소</t>
        </is>
      </c>
      <c r="I579" t="n">
        <v>5</v>
      </c>
      <c r="J579" t="n">
        <v>5102</v>
      </c>
      <c r="K579" t="n">
        <v>5079</v>
      </c>
      <c r="L579" t="inlineStr">
        <is>
          <t>L-0720</t>
        </is>
      </c>
      <c r="M579">
        <f>F579-G579</f>
        <v/>
      </c>
      <c r="N579" s="2">
        <f>M579/F579</f>
        <v/>
      </c>
      <c r="O579" s="2">
        <f>I579*J579/60/M579</f>
        <v/>
      </c>
      <c r="P579" s="2">
        <f>K579/J579</f>
        <v/>
      </c>
      <c r="Q579" s="2">
        <f>N579*O579*P579</f>
        <v/>
      </c>
    </row>
    <row r="580">
      <c r="A580" t="inlineStr">
        <is>
          <t>2026-07-25</t>
        </is>
      </c>
      <c r="B580" t="inlineStr">
        <is>
          <t>주간</t>
        </is>
      </c>
      <c r="C580" t="inlineStr">
        <is>
          <t>P2</t>
        </is>
      </c>
      <c r="D580" t="inlineStr">
        <is>
          <t>성형</t>
        </is>
      </c>
      <c r="E580" t="inlineStr">
        <is>
          <t>PR-01</t>
        </is>
      </c>
      <c r="F580" t="n">
        <v>480</v>
      </c>
      <c r="G580" t="n">
        <v>14</v>
      </c>
      <c r="H580" t="inlineStr">
        <is>
          <t>금형 교체</t>
        </is>
      </c>
      <c r="I580" t="n">
        <v>6</v>
      </c>
      <c r="J580" t="n">
        <v>4295</v>
      </c>
      <c r="K580" t="n">
        <v>4257</v>
      </c>
      <c r="L580" t="inlineStr">
        <is>
          <t>L-0720</t>
        </is>
      </c>
      <c r="M580">
        <f>F580-G580</f>
        <v/>
      </c>
      <c r="N580" s="2">
        <f>M580/F580</f>
        <v/>
      </c>
      <c r="O580" s="2">
        <f>I580*J580/60/M580</f>
        <v/>
      </c>
      <c r="P580" s="2">
        <f>K580/J580</f>
        <v/>
      </c>
      <c r="Q580" s="2">
        <f>N580*O580*P580</f>
        <v/>
      </c>
    </row>
    <row r="581">
      <c r="A581" t="inlineStr">
        <is>
          <t>2026-07-25</t>
        </is>
      </c>
      <c r="B581" t="inlineStr">
        <is>
          <t>주간</t>
        </is>
      </c>
      <c r="C581" t="inlineStr">
        <is>
          <t>P2</t>
        </is>
      </c>
      <c r="D581" t="inlineStr">
        <is>
          <t>성형</t>
        </is>
      </c>
      <c r="E581" t="inlineStr">
        <is>
          <t>PR-02</t>
        </is>
      </c>
      <c r="F581" t="n">
        <v>480</v>
      </c>
      <c r="G581" t="n">
        <v>7</v>
      </c>
      <c r="H581" t="inlineStr">
        <is>
          <t>금형 교체</t>
        </is>
      </c>
      <c r="I581" t="n">
        <v>6</v>
      </c>
      <c r="J581" t="n">
        <v>4618</v>
      </c>
      <c r="K581" t="n">
        <v>4570</v>
      </c>
      <c r="L581" t="inlineStr">
        <is>
          <t>L-0720</t>
        </is>
      </c>
      <c r="M581">
        <f>F581-G581</f>
        <v/>
      </c>
      <c r="N581" s="2">
        <f>M581/F581</f>
        <v/>
      </c>
      <c r="O581" s="2">
        <f>I581*J581/60/M581</f>
        <v/>
      </c>
      <c r="P581" s="2">
        <f>K581/J581</f>
        <v/>
      </c>
      <c r="Q581" s="2">
        <f>N581*O581*P581</f>
        <v/>
      </c>
    </row>
    <row r="582">
      <c r="A582" t="inlineStr">
        <is>
          <t>2026-07-25</t>
        </is>
      </c>
      <c r="B582" t="inlineStr">
        <is>
          <t>주간</t>
        </is>
      </c>
      <c r="C582" t="inlineStr">
        <is>
          <t>P3</t>
        </is>
      </c>
      <c r="D582" t="inlineStr">
        <is>
          <t>소결</t>
        </is>
      </c>
      <c r="E582" t="inlineStr">
        <is>
          <t>SF-01</t>
        </is>
      </c>
      <c r="F582" t="n">
        <v>480</v>
      </c>
      <c r="G582" t="n">
        <v>30</v>
      </c>
      <c r="H582" t="inlineStr">
        <is>
          <t>재가열</t>
        </is>
      </c>
      <c r="I582" t="n">
        <v>6.5</v>
      </c>
      <c r="J582" t="n">
        <v>4042</v>
      </c>
      <c r="K582" t="n">
        <v>3958</v>
      </c>
      <c r="L582" t="inlineStr">
        <is>
          <t>L-0720</t>
        </is>
      </c>
      <c r="M582">
        <f>F582-G582</f>
        <v/>
      </c>
      <c r="N582" s="2">
        <f>M582/F582</f>
        <v/>
      </c>
      <c r="O582" s="2">
        <f>I582*J582/60/M582</f>
        <v/>
      </c>
      <c r="P582" s="2">
        <f>K582/J582</f>
        <v/>
      </c>
      <c r="Q582" s="2">
        <f>N582*O582*P582</f>
        <v/>
      </c>
    </row>
    <row r="583">
      <c r="A583" t="inlineStr">
        <is>
          <t>2026-07-25</t>
        </is>
      </c>
      <c r="B583" t="inlineStr">
        <is>
          <t>주간</t>
        </is>
      </c>
      <c r="C583" t="inlineStr">
        <is>
          <t>P3</t>
        </is>
      </c>
      <c r="D583" t="inlineStr">
        <is>
          <t>소결</t>
        </is>
      </c>
      <c r="E583" t="inlineStr">
        <is>
          <t>SF-02</t>
        </is>
      </c>
      <c r="F583" t="n">
        <v>480</v>
      </c>
      <c r="G583" t="n">
        <v>59</v>
      </c>
      <c r="H583" t="inlineStr">
        <is>
          <t>장입 대기</t>
        </is>
      </c>
      <c r="I583" t="n">
        <v>6.5</v>
      </c>
      <c r="J583" t="n">
        <v>3711</v>
      </c>
      <c r="K583" t="n">
        <v>3620</v>
      </c>
      <c r="L583" t="inlineStr">
        <is>
          <t>L-0720</t>
        </is>
      </c>
      <c r="M583">
        <f>F583-G583</f>
        <v/>
      </c>
      <c r="N583" s="2">
        <f>M583/F583</f>
        <v/>
      </c>
      <c r="O583" s="2">
        <f>I583*J583/60/M583</f>
        <v/>
      </c>
      <c r="P583" s="2">
        <f>K583/J583</f>
        <v/>
      </c>
      <c r="Q583" s="2">
        <f>N583*O583*P583</f>
        <v/>
      </c>
    </row>
    <row r="584">
      <c r="A584" t="inlineStr">
        <is>
          <t>2026-07-25</t>
        </is>
      </c>
      <c r="B584" t="inlineStr">
        <is>
          <t>주간</t>
        </is>
      </c>
      <c r="C584" t="inlineStr">
        <is>
          <t>P4</t>
        </is>
      </c>
      <c r="D584" t="inlineStr">
        <is>
          <t>연삭</t>
        </is>
      </c>
      <c r="E584" t="inlineStr">
        <is>
          <t>GR-01</t>
        </is>
      </c>
      <c r="F584" t="n">
        <v>480</v>
      </c>
      <c r="G584" t="n">
        <v>39</v>
      </c>
      <c r="H584" t="inlineStr">
        <is>
          <t>공구 교체</t>
        </is>
      </c>
      <c r="I584" t="n">
        <v>6.2</v>
      </c>
      <c r="J584" t="n">
        <v>4138</v>
      </c>
      <c r="K584" t="n">
        <v>4087</v>
      </c>
      <c r="L584" t="inlineStr">
        <is>
          <t>L-0720</t>
        </is>
      </c>
      <c r="M584">
        <f>F584-G584</f>
        <v/>
      </c>
      <c r="N584" s="2">
        <f>M584/F584</f>
        <v/>
      </c>
      <c r="O584" s="2">
        <f>I584*J584/60/M584</f>
        <v/>
      </c>
      <c r="P584" s="2">
        <f>K584/J584</f>
        <v/>
      </c>
      <c r="Q584" s="2">
        <f>N584*O584*P584</f>
        <v/>
      </c>
    </row>
    <row r="585">
      <c r="A585" t="inlineStr">
        <is>
          <t>2026-07-25</t>
        </is>
      </c>
      <c r="B585" t="inlineStr">
        <is>
          <t>주간</t>
        </is>
      </c>
      <c r="C585" t="inlineStr">
        <is>
          <t>P4</t>
        </is>
      </c>
      <c r="D585" t="inlineStr">
        <is>
          <t>연삭</t>
        </is>
      </c>
      <c r="E585" t="inlineStr">
        <is>
          <t>GR-02</t>
        </is>
      </c>
      <c r="F585" t="n">
        <v>480</v>
      </c>
      <c r="G585" t="n">
        <v>64</v>
      </c>
      <c r="H585" t="inlineStr">
        <is>
          <t>공구 교체</t>
        </is>
      </c>
      <c r="I585" t="n">
        <v>6.2</v>
      </c>
      <c r="J585" t="n">
        <v>3971</v>
      </c>
      <c r="K585" t="n">
        <v>3932</v>
      </c>
      <c r="L585" t="inlineStr">
        <is>
          <t>L-0720</t>
        </is>
      </c>
      <c r="M585">
        <f>F585-G585</f>
        <v/>
      </c>
      <c r="N585" s="2">
        <f>M585/F585</f>
        <v/>
      </c>
      <c r="O585" s="2">
        <f>I585*J585/60/M585</f>
        <v/>
      </c>
      <c r="P585" s="2">
        <f>K585/J585</f>
        <v/>
      </c>
      <c r="Q585" s="2">
        <f>N585*O585*P585</f>
        <v/>
      </c>
    </row>
    <row r="586">
      <c r="A586" t="inlineStr">
        <is>
          <t>2026-07-25</t>
        </is>
      </c>
      <c r="B586" t="inlineStr">
        <is>
          <t>주간</t>
        </is>
      </c>
      <c r="C586" t="inlineStr">
        <is>
          <t>P5</t>
        </is>
      </c>
      <c r="D586" t="inlineStr">
        <is>
          <t>검사</t>
        </is>
      </c>
      <c r="E586" t="inlineStr">
        <is>
          <t>IN-01</t>
        </is>
      </c>
      <c r="F586" t="n">
        <v>480</v>
      </c>
      <c r="G586" t="n">
        <v>44</v>
      </c>
      <c r="H586" t="inlineStr">
        <is>
          <t>샘플 재검</t>
        </is>
      </c>
      <c r="I586" t="n">
        <v>5.5</v>
      </c>
      <c r="J586" t="n">
        <v>4199</v>
      </c>
      <c r="K586" t="n">
        <v>4187</v>
      </c>
      <c r="L586" t="inlineStr">
        <is>
          <t>L-0720</t>
        </is>
      </c>
      <c r="M586">
        <f>F586-G586</f>
        <v/>
      </c>
      <c r="N586" s="2">
        <f>M586/F586</f>
        <v/>
      </c>
      <c r="O586" s="2">
        <f>I586*J586/60/M586</f>
        <v/>
      </c>
      <c r="P586" s="2">
        <f>K586/J586</f>
        <v/>
      </c>
      <c r="Q586" s="2">
        <f>N586*O586*P586</f>
        <v/>
      </c>
    </row>
    <row r="587">
      <c r="A587" t="inlineStr">
        <is>
          <t>2026-07-25</t>
        </is>
      </c>
      <c r="B587" t="inlineStr">
        <is>
          <t>주간</t>
        </is>
      </c>
      <c r="C587" t="inlineStr">
        <is>
          <t>P5</t>
        </is>
      </c>
      <c r="D587" t="inlineStr">
        <is>
          <t>검사</t>
        </is>
      </c>
      <c r="E587" t="inlineStr">
        <is>
          <t>IN-02</t>
        </is>
      </c>
      <c r="F587" t="n">
        <v>480</v>
      </c>
      <c r="G587" t="n">
        <v>110</v>
      </c>
      <c r="H587" t="inlineStr">
        <is>
          <t>샘플 재검</t>
        </is>
      </c>
      <c r="I587" t="n">
        <v>5.5</v>
      </c>
      <c r="J587" t="n">
        <v>3620</v>
      </c>
      <c r="K587" t="n">
        <v>3609</v>
      </c>
      <c r="L587" t="inlineStr">
        <is>
          <t>L-0720</t>
        </is>
      </c>
      <c r="M587">
        <f>F587-G587</f>
        <v/>
      </c>
      <c r="N587" s="2">
        <f>M587/F587</f>
        <v/>
      </c>
      <c r="O587" s="2">
        <f>I587*J587/60/M587</f>
        <v/>
      </c>
      <c r="P587" s="2">
        <f>K587/J587</f>
        <v/>
      </c>
      <c r="Q587" s="2">
        <f>N587*O587*P587</f>
        <v/>
      </c>
    </row>
    <row r="588">
      <c r="A588" t="inlineStr">
        <is>
          <t>2026-07-25</t>
        </is>
      </c>
      <c r="B588" t="inlineStr">
        <is>
          <t>주간</t>
        </is>
      </c>
      <c r="C588" t="inlineStr">
        <is>
          <t>P6</t>
        </is>
      </c>
      <c r="D588" t="inlineStr">
        <is>
          <t>포장</t>
        </is>
      </c>
      <c r="E588" t="inlineStr">
        <is>
          <t>PK-01</t>
        </is>
      </c>
      <c r="F588" t="n">
        <v>480</v>
      </c>
      <c r="G588" t="n">
        <v>11</v>
      </c>
      <c r="H588" t="inlineStr">
        <is>
          <t>자재 대기</t>
        </is>
      </c>
      <c r="I588" t="n">
        <v>4.8</v>
      </c>
      <c r="J588" t="n">
        <v>5447</v>
      </c>
      <c r="K588" t="n">
        <v>5432</v>
      </c>
      <c r="L588" t="inlineStr">
        <is>
          <t>L-0720</t>
        </is>
      </c>
      <c r="M588">
        <f>F588-G588</f>
        <v/>
      </c>
      <c r="N588" s="2">
        <f>M588/F588</f>
        <v/>
      </c>
      <c r="O588" s="2">
        <f>I588*J588/60/M588</f>
        <v/>
      </c>
      <c r="P588" s="2">
        <f>K588/J588</f>
        <v/>
      </c>
      <c r="Q588" s="2">
        <f>N588*O588*P588</f>
        <v/>
      </c>
    </row>
    <row r="589">
      <c r="A589" t="inlineStr">
        <is>
          <t>2026-07-25</t>
        </is>
      </c>
      <c r="B589" t="inlineStr">
        <is>
          <t>주간</t>
        </is>
      </c>
      <c r="C589" t="inlineStr">
        <is>
          <t>P6</t>
        </is>
      </c>
      <c r="D589" t="inlineStr">
        <is>
          <t>포장</t>
        </is>
      </c>
      <c r="E589" t="inlineStr">
        <is>
          <t>PK-02</t>
        </is>
      </c>
      <c r="F589" t="n">
        <v>480</v>
      </c>
      <c r="G589" t="n">
        <v>5</v>
      </c>
      <c r="H589" t="inlineStr">
        <is>
          <t>자재 대기</t>
        </is>
      </c>
      <c r="I589" t="n">
        <v>4.8</v>
      </c>
      <c r="J589" t="n">
        <v>5626</v>
      </c>
      <c r="K589" t="n">
        <v>5615</v>
      </c>
      <c r="L589" t="inlineStr">
        <is>
          <t>L-0720</t>
        </is>
      </c>
      <c r="M589">
        <f>F589-G589</f>
        <v/>
      </c>
      <c r="N589" s="2">
        <f>M589/F589</f>
        <v/>
      </c>
      <c r="O589" s="2">
        <f>I589*J589/60/M589</f>
        <v/>
      </c>
      <c r="P589" s="2">
        <f>K589/J589</f>
        <v/>
      </c>
      <c r="Q589" s="2">
        <f>N589*O589*P589</f>
        <v/>
      </c>
    </row>
    <row r="590">
      <c r="A590" t="inlineStr">
        <is>
          <t>2026-07-25</t>
        </is>
      </c>
      <c r="B590" t="inlineStr">
        <is>
          <t>야간</t>
        </is>
      </c>
      <c r="C590" t="inlineStr">
        <is>
          <t>P1</t>
        </is>
      </c>
      <c r="D590" t="inlineStr">
        <is>
          <t>원료혼합</t>
        </is>
      </c>
      <c r="E590" t="inlineStr">
        <is>
          <t>MX-01</t>
        </is>
      </c>
      <c r="F590" t="n">
        <v>480</v>
      </c>
      <c r="G590" t="n">
        <v>23</v>
      </c>
      <c r="H590" t="inlineStr">
        <is>
          <t>청소</t>
        </is>
      </c>
      <c r="I590" t="n">
        <v>5</v>
      </c>
      <c r="J590" t="n">
        <v>5182</v>
      </c>
      <c r="K590" t="n">
        <v>5149</v>
      </c>
      <c r="L590" t="inlineStr">
        <is>
          <t>L-0720</t>
        </is>
      </c>
      <c r="M590">
        <f>F590-G590</f>
        <v/>
      </c>
      <c r="N590" s="2">
        <f>M590/F590</f>
        <v/>
      </c>
      <c r="O590" s="2">
        <f>I590*J590/60/M590</f>
        <v/>
      </c>
      <c r="P590" s="2">
        <f>K590/J590</f>
        <v/>
      </c>
      <c r="Q590" s="2">
        <f>N590*O590*P590</f>
        <v/>
      </c>
    </row>
    <row r="591">
      <c r="A591" t="inlineStr">
        <is>
          <t>2026-07-25</t>
        </is>
      </c>
      <c r="B591" t="inlineStr">
        <is>
          <t>야간</t>
        </is>
      </c>
      <c r="C591" t="inlineStr">
        <is>
          <t>P1</t>
        </is>
      </c>
      <c r="D591" t="inlineStr">
        <is>
          <t>원료혼합</t>
        </is>
      </c>
      <c r="E591" t="inlineStr">
        <is>
          <t>MX-02</t>
        </is>
      </c>
      <c r="F591" t="n">
        <v>480</v>
      </c>
      <c r="G591" t="n">
        <v>43</v>
      </c>
      <c r="H591" t="inlineStr">
        <is>
          <t>배합 확인</t>
        </is>
      </c>
      <c r="I591" t="n">
        <v>5</v>
      </c>
      <c r="J591" t="n">
        <v>4991</v>
      </c>
      <c r="K591" t="n">
        <v>4950</v>
      </c>
      <c r="L591" t="inlineStr">
        <is>
          <t>L-0720</t>
        </is>
      </c>
      <c r="M591">
        <f>F591-G591</f>
        <v/>
      </c>
      <c r="N591" s="2">
        <f>M591/F591</f>
        <v/>
      </c>
      <c r="O591" s="2">
        <f>I591*J591/60/M591</f>
        <v/>
      </c>
      <c r="P591" s="2">
        <f>K591/J591</f>
        <v/>
      </c>
      <c r="Q591" s="2">
        <f>N591*O591*P591</f>
        <v/>
      </c>
    </row>
    <row r="592">
      <c r="A592" t="inlineStr">
        <is>
          <t>2026-07-25</t>
        </is>
      </c>
      <c r="B592" t="inlineStr">
        <is>
          <t>야간</t>
        </is>
      </c>
      <c r="C592" t="inlineStr">
        <is>
          <t>P2</t>
        </is>
      </c>
      <c r="D592" t="inlineStr">
        <is>
          <t>성형</t>
        </is>
      </c>
      <c r="E592" t="inlineStr">
        <is>
          <t>PR-01</t>
        </is>
      </c>
      <c r="F592" t="n">
        <v>480</v>
      </c>
      <c r="G592" t="n">
        <v>37</v>
      </c>
      <c r="H592" t="inlineStr">
        <is>
          <t>분말 공급 지연</t>
        </is>
      </c>
      <c r="I592" t="n">
        <v>6</v>
      </c>
      <c r="J592" t="n">
        <v>4109</v>
      </c>
      <c r="K592" t="n">
        <v>4062</v>
      </c>
      <c r="L592" t="inlineStr">
        <is>
          <t>L-0720</t>
        </is>
      </c>
      <c r="M592">
        <f>F592-G592</f>
        <v/>
      </c>
      <c r="N592" s="2">
        <f>M592/F592</f>
        <v/>
      </c>
      <c r="O592" s="2">
        <f>I592*J592/60/M592</f>
        <v/>
      </c>
      <c r="P592" s="2">
        <f>K592/J592</f>
        <v/>
      </c>
      <c r="Q592" s="2">
        <f>N592*O592*P592</f>
        <v/>
      </c>
    </row>
    <row r="593">
      <c r="A593" t="inlineStr">
        <is>
          <t>2026-07-25</t>
        </is>
      </c>
      <c r="B593" t="inlineStr">
        <is>
          <t>야간</t>
        </is>
      </c>
      <c r="C593" t="inlineStr">
        <is>
          <t>P2</t>
        </is>
      </c>
      <c r="D593" t="inlineStr">
        <is>
          <t>성형</t>
        </is>
      </c>
      <c r="E593" t="inlineStr">
        <is>
          <t>PR-02</t>
        </is>
      </c>
      <c r="F593" t="n">
        <v>480</v>
      </c>
      <c r="G593" t="n">
        <v>7</v>
      </c>
      <c r="H593" t="inlineStr">
        <is>
          <t>금형 교체</t>
        </is>
      </c>
      <c r="I593" t="n">
        <v>6</v>
      </c>
      <c r="J593" t="n">
        <v>4414</v>
      </c>
      <c r="K593" t="n">
        <v>4364</v>
      </c>
      <c r="L593" t="inlineStr">
        <is>
          <t>L-0720</t>
        </is>
      </c>
      <c r="M593">
        <f>F593-G593</f>
        <v/>
      </c>
      <c r="N593" s="2">
        <f>M593/F593</f>
        <v/>
      </c>
      <c r="O593" s="2">
        <f>I593*J593/60/M593</f>
        <v/>
      </c>
      <c r="P593" s="2">
        <f>K593/J593</f>
        <v/>
      </c>
      <c r="Q593" s="2">
        <f>N593*O593*P593</f>
        <v/>
      </c>
    </row>
    <row r="594">
      <c r="A594" t="inlineStr">
        <is>
          <t>2026-07-25</t>
        </is>
      </c>
      <c r="B594" t="inlineStr">
        <is>
          <t>야간</t>
        </is>
      </c>
      <c r="C594" t="inlineStr">
        <is>
          <t>P3</t>
        </is>
      </c>
      <c r="D594" t="inlineStr">
        <is>
          <t>소결</t>
        </is>
      </c>
      <c r="E594" t="inlineStr">
        <is>
          <t>SF-01</t>
        </is>
      </c>
      <c r="F594" t="n">
        <v>480</v>
      </c>
      <c r="G594" t="n">
        <v>50</v>
      </c>
      <c r="H594" t="inlineStr">
        <is>
          <t>온도 이상 정지</t>
        </is>
      </c>
      <c r="I594" t="n">
        <v>6.5</v>
      </c>
      <c r="J594" t="n">
        <v>3738</v>
      </c>
      <c r="K594" t="n">
        <v>3662</v>
      </c>
      <c r="L594" t="inlineStr">
        <is>
          <t>L-0720</t>
        </is>
      </c>
      <c r="M594">
        <f>F594-G594</f>
        <v/>
      </c>
      <c r="N594" s="2">
        <f>M594/F594</f>
        <v/>
      </c>
      <c r="O594" s="2">
        <f>I594*J594/60/M594</f>
        <v/>
      </c>
      <c r="P594" s="2">
        <f>K594/J594</f>
        <v/>
      </c>
      <c r="Q594" s="2">
        <f>N594*O594*P594</f>
        <v/>
      </c>
    </row>
    <row r="595">
      <c r="A595" t="inlineStr">
        <is>
          <t>2026-07-25</t>
        </is>
      </c>
      <c r="B595" t="inlineStr">
        <is>
          <t>야간</t>
        </is>
      </c>
      <c r="C595" t="inlineStr">
        <is>
          <t>P3</t>
        </is>
      </c>
      <c r="D595" t="inlineStr">
        <is>
          <t>소결</t>
        </is>
      </c>
      <c r="E595" t="inlineStr">
        <is>
          <t>SF-02</t>
        </is>
      </c>
      <c r="F595" t="n">
        <v>480</v>
      </c>
      <c r="G595" t="n">
        <v>42</v>
      </c>
      <c r="H595" t="inlineStr">
        <is>
          <t>장입 대기</t>
        </is>
      </c>
      <c r="I595" t="n">
        <v>6.5</v>
      </c>
      <c r="J595" t="n">
        <v>3798</v>
      </c>
      <c r="K595" t="n">
        <v>3731</v>
      </c>
      <c r="L595" t="inlineStr">
        <is>
          <t>L-0720</t>
        </is>
      </c>
      <c r="M595">
        <f>F595-G595</f>
        <v/>
      </c>
      <c r="N595" s="2">
        <f>M595/F595</f>
        <v/>
      </c>
      <c r="O595" s="2">
        <f>I595*J595/60/M595</f>
        <v/>
      </c>
      <c r="P595" s="2">
        <f>K595/J595</f>
        <v/>
      </c>
      <c r="Q595" s="2">
        <f>N595*O595*P595</f>
        <v/>
      </c>
    </row>
    <row r="596">
      <c r="A596" t="inlineStr">
        <is>
          <t>2026-07-25</t>
        </is>
      </c>
      <c r="B596" t="inlineStr">
        <is>
          <t>야간</t>
        </is>
      </c>
      <c r="C596" t="inlineStr">
        <is>
          <t>P4</t>
        </is>
      </c>
      <c r="D596" t="inlineStr">
        <is>
          <t>연삭</t>
        </is>
      </c>
      <c r="E596" t="inlineStr">
        <is>
          <t>GR-01</t>
        </is>
      </c>
      <c r="F596" t="n">
        <v>480</v>
      </c>
      <c r="G596" t="n">
        <v>76</v>
      </c>
      <c r="H596" t="inlineStr">
        <is>
          <t>공구 교체</t>
        </is>
      </c>
      <c r="I596" t="n">
        <v>6.2</v>
      </c>
      <c r="J596" t="n">
        <v>3749</v>
      </c>
      <c r="K596" t="n">
        <v>3709</v>
      </c>
      <c r="L596" t="inlineStr">
        <is>
          <t>L-0720</t>
        </is>
      </c>
      <c r="M596">
        <f>F596-G596</f>
        <v/>
      </c>
      <c r="N596" s="2">
        <f>M596/F596</f>
        <v/>
      </c>
      <c r="O596" s="2">
        <f>I596*J596/60/M596</f>
        <v/>
      </c>
      <c r="P596" s="2">
        <f>K596/J596</f>
        <v/>
      </c>
      <c r="Q596" s="2">
        <f>N596*O596*P596</f>
        <v/>
      </c>
    </row>
    <row r="597">
      <c r="A597" t="inlineStr">
        <is>
          <t>2026-07-25</t>
        </is>
      </c>
      <c r="B597" t="inlineStr">
        <is>
          <t>야간</t>
        </is>
      </c>
      <c r="C597" t="inlineStr">
        <is>
          <t>P4</t>
        </is>
      </c>
      <c r="D597" t="inlineStr">
        <is>
          <t>연삭</t>
        </is>
      </c>
      <c r="E597" t="inlineStr">
        <is>
          <t>GR-02</t>
        </is>
      </c>
      <c r="F597" t="n">
        <v>480</v>
      </c>
      <c r="G597" t="n">
        <v>43</v>
      </c>
      <c r="H597" t="inlineStr">
        <is>
          <t>드레싱</t>
        </is>
      </c>
      <c r="I597" t="n">
        <v>6.2</v>
      </c>
      <c r="J597" t="n">
        <v>3961</v>
      </c>
      <c r="K597" t="n">
        <v>3926</v>
      </c>
      <c r="L597" t="inlineStr">
        <is>
          <t>L-0720</t>
        </is>
      </c>
      <c r="M597">
        <f>F597-G597</f>
        <v/>
      </c>
      <c r="N597" s="2">
        <f>M597/F597</f>
        <v/>
      </c>
      <c r="O597" s="2">
        <f>I597*J597/60/M597</f>
        <v/>
      </c>
      <c r="P597" s="2">
        <f>K597/J597</f>
        <v/>
      </c>
      <c r="Q597" s="2">
        <f>N597*O597*P597</f>
        <v/>
      </c>
    </row>
    <row r="598">
      <c r="A598" t="inlineStr">
        <is>
          <t>2026-07-25</t>
        </is>
      </c>
      <c r="B598" t="inlineStr">
        <is>
          <t>야간</t>
        </is>
      </c>
      <c r="C598" t="inlineStr">
        <is>
          <t>P5</t>
        </is>
      </c>
      <c r="D598" t="inlineStr">
        <is>
          <t>검사</t>
        </is>
      </c>
      <c r="E598" t="inlineStr">
        <is>
          <t>IN-01</t>
        </is>
      </c>
      <c r="F598" t="n">
        <v>480</v>
      </c>
      <c r="G598" t="n">
        <v>16</v>
      </c>
      <c r="H598" t="inlineStr">
        <is>
          <t>측정기 교정</t>
        </is>
      </c>
      <c r="I598" t="n">
        <v>5.5</v>
      </c>
      <c r="J598" t="n">
        <v>4784</v>
      </c>
      <c r="K598" t="n">
        <v>4763</v>
      </c>
      <c r="L598" t="inlineStr">
        <is>
          <t>L-0720</t>
        </is>
      </c>
      <c r="M598">
        <f>F598-G598</f>
        <v/>
      </c>
      <c r="N598" s="2">
        <f>M598/F598</f>
        <v/>
      </c>
      <c r="O598" s="2">
        <f>I598*J598/60/M598</f>
        <v/>
      </c>
      <c r="P598" s="2">
        <f>K598/J598</f>
        <v/>
      </c>
      <c r="Q598" s="2">
        <f>N598*O598*P598</f>
        <v/>
      </c>
    </row>
    <row r="599">
      <c r="A599" t="inlineStr">
        <is>
          <t>2026-07-25</t>
        </is>
      </c>
      <c r="B599" t="inlineStr">
        <is>
          <t>야간</t>
        </is>
      </c>
      <c r="C599" t="inlineStr">
        <is>
          <t>P5</t>
        </is>
      </c>
      <c r="D599" t="inlineStr">
        <is>
          <t>검사</t>
        </is>
      </c>
      <c r="E599" t="inlineStr">
        <is>
          <t>IN-02</t>
        </is>
      </c>
      <c r="F599" t="n">
        <v>480</v>
      </c>
      <c r="G599" t="n">
        <v>25</v>
      </c>
      <c r="H599" t="inlineStr">
        <is>
          <t>측정기 교정</t>
        </is>
      </c>
      <c r="I599" t="n">
        <v>5.5</v>
      </c>
      <c r="J599" t="n">
        <v>4567</v>
      </c>
      <c r="K599" t="n">
        <v>4548</v>
      </c>
      <c r="L599" t="inlineStr">
        <is>
          <t>L-0720</t>
        </is>
      </c>
      <c r="M599">
        <f>F599-G599</f>
        <v/>
      </c>
      <c r="N599" s="2">
        <f>M599/F599</f>
        <v/>
      </c>
      <c r="O599" s="2">
        <f>I599*J599/60/M599</f>
        <v/>
      </c>
      <c r="P599" s="2">
        <f>K599/J599</f>
        <v/>
      </c>
      <c r="Q599" s="2">
        <f>N599*O599*P599</f>
        <v/>
      </c>
    </row>
    <row r="600">
      <c r="A600" t="inlineStr">
        <is>
          <t>2026-07-25</t>
        </is>
      </c>
      <c r="B600" t="inlineStr">
        <is>
          <t>야간</t>
        </is>
      </c>
      <c r="C600" t="inlineStr">
        <is>
          <t>P6</t>
        </is>
      </c>
      <c r="D600" t="inlineStr">
        <is>
          <t>포장</t>
        </is>
      </c>
      <c r="E600" t="inlineStr">
        <is>
          <t>PK-01</t>
        </is>
      </c>
      <c r="F600" t="n">
        <v>480</v>
      </c>
      <c r="G600" t="n">
        <v>6</v>
      </c>
      <c r="H600" t="inlineStr">
        <is>
          <t>라벨 교체</t>
        </is>
      </c>
      <c r="I600" t="n">
        <v>4.8</v>
      </c>
      <c r="J600" t="n">
        <v>5607</v>
      </c>
      <c r="K600" t="n">
        <v>5588</v>
      </c>
      <c r="L600" t="inlineStr">
        <is>
          <t>L-0720</t>
        </is>
      </c>
      <c r="M600">
        <f>F600-G600</f>
        <v/>
      </c>
      <c r="N600" s="2">
        <f>M600/F600</f>
        <v/>
      </c>
      <c r="O600" s="2">
        <f>I600*J600/60/M600</f>
        <v/>
      </c>
      <c r="P600" s="2">
        <f>K600/J600</f>
        <v/>
      </c>
      <c r="Q600" s="2">
        <f>N600*O600*P600</f>
        <v/>
      </c>
    </row>
    <row r="601">
      <c r="A601" t="inlineStr">
        <is>
          <t>2026-07-25</t>
        </is>
      </c>
      <c r="B601" t="inlineStr">
        <is>
          <t>야간</t>
        </is>
      </c>
      <c r="C601" t="inlineStr">
        <is>
          <t>P6</t>
        </is>
      </c>
      <c r="D601" t="inlineStr">
        <is>
          <t>포장</t>
        </is>
      </c>
      <c r="E601" t="inlineStr">
        <is>
          <t>PK-02</t>
        </is>
      </c>
      <c r="F601" t="n">
        <v>480</v>
      </c>
      <c r="G601" t="n">
        <v>18</v>
      </c>
      <c r="H601" t="inlineStr">
        <is>
          <t>라벨 교체</t>
        </is>
      </c>
      <c r="I601" t="n">
        <v>4.8</v>
      </c>
      <c r="J601" t="n">
        <v>5246</v>
      </c>
      <c r="K601" t="n">
        <v>5229</v>
      </c>
      <c r="L601" t="inlineStr">
        <is>
          <t>L-0720</t>
        </is>
      </c>
      <c r="M601">
        <f>F601-G601</f>
        <v/>
      </c>
      <c r="N601" s="2">
        <f>M601/F601</f>
        <v/>
      </c>
      <c r="O601" s="2">
        <f>I601*J601/60/M601</f>
        <v/>
      </c>
      <c r="P601" s="2">
        <f>K601/J601</f>
        <v/>
      </c>
      <c r="Q601" s="2">
        <f>N601*O601*P601</f>
        <v/>
      </c>
    </row>
    <row r="602">
      <c r="A602" t="inlineStr">
        <is>
          <t>2026-07-26</t>
        </is>
      </c>
      <c r="B602" t="inlineStr">
        <is>
          <t>주간</t>
        </is>
      </c>
      <c r="C602" t="inlineStr">
        <is>
          <t>P1</t>
        </is>
      </c>
      <c r="D602" t="inlineStr">
        <is>
          <t>원료혼합</t>
        </is>
      </c>
      <c r="E602" t="inlineStr">
        <is>
          <t>MX-01</t>
        </is>
      </c>
      <c r="F602" t="n">
        <v>480</v>
      </c>
      <c r="G602" t="n">
        <v>6</v>
      </c>
      <c r="H602" t="inlineStr">
        <is>
          <t>배합 확인</t>
        </is>
      </c>
      <c r="I602" t="n">
        <v>5</v>
      </c>
      <c r="J602" t="n">
        <v>5374</v>
      </c>
      <c r="K602" t="n">
        <v>5342</v>
      </c>
      <c r="L602" t="inlineStr">
        <is>
          <t>L-0720</t>
        </is>
      </c>
      <c r="M602">
        <f>F602-G602</f>
        <v/>
      </c>
      <c r="N602" s="2">
        <f>M602/F602</f>
        <v/>
      </c>
      <c r="O602" s="2">
        <f>I602*J602/60/M602</f>
        <v/>
      </c>
      <c r="P602" s="2">
        <f>K602/J602</f>
        <v/>
      </c>
      <c r="Q602" s="2">
        <f>N602*O602*P602</f>
        <v/>
      </c>
    </row>
    <row r="603">
      <c r="A603" t="inlineStr">
        <is>
          <t>2026-07-26</t>
        </is>
      </c>
      <c r="B603" t="inlineStr">
        <is>
          <t>주간</t>
        </is>
      </c>
      <c r="C603" t="inlineStr">
        <is>
          <t>P1</t>
        </is>
      </c>
      <c r="D603" t="inlineStr">
        <is>
          <t>원료혼합</t>
        </is>
      </c>
      <c r="E603" t="inlineStr">
        <is>
          <t>MX-02</t>
        </is>
      </c>
      <c r="F603" t="n">
        <v>480</v>
      </c>
      <c r="G603" t="n">
        <v>19</v>
      </c>
      <c r="H603" t="inlineStr">
        <is>
          <t>배합 확인</t>
        </is>
      </c>
      <c r="I603" t="n">
        <v>5</v>
      </c>
      <c r="J603" t="n">
        <v>5153</v>
      </c>
      <c r="K603" t="n">
        <v>5116</v>
      </c>
      <c r="L603" t="inlineStr">
        <is>
          <t>L-0720</t>
        </is>
      </c>
      <c r="M603">
        <f>F603-G603</f>
        <v/>
      </c>
      <c r="N603" s="2">
        <f>M603/F603</f>
        <v/>
      </c>
      <c r="O603" s="2">
        <f>I603*J603/60/M603</f>
        <v/>
      </c>
      <c r="P603" s="2">
        <f>K603/J603</f>
        <v/>
      </c>
      <c r="Q603" s="2">
        <f>N603*O603*P603</f>
        <v/>
      </c>
    </row>
    <row r="604">
      <c r="A604" t="inlineStr">
        <is>
          <t>2026-07-26</t>
        </is>
      </c>
      <c r="B604" t="inlineStr">
        <is>
          <t>주간</t>
        </is>
      </c>
      <c r="C604" t="inlineStr">
        <is>
          <t>P2</t>
        </is>
      </c>
      <c r="D604" t="inlineStr">
        <is>
          <t>성형</t>
        </is>
      </c>
      <c r="E604" t="inlineStr">
        <is>
          <t>PR-01</t>
        </is>
      </c>
      <c r="F604" t="n">
        <v>480</v>
      </c>
      <c r="G604" t="n">
        <v>21</v>
      </c>
      <c r="H604" t="inlineStr">
        <is>
          <t>분말 공급 지연</t>
        </is>
      </c>
      <c r="I604" t="n">
        <v>6</v>
      </c>
      <c r="J604" t="n">
        <v>4225</v>
      </c>
      <c r="K604" t="n">
        <v>4162</v>
      </c>
      <c r="L604" t="inlineStr">
        <is>
          <t>L-0720</t>
        </is>
      </c>
      <c r="M604">
        <f>F604-G604</f>
        <v/>
      </c>
      <c r="N604" s="2">
        <f>M604/F604</f>
        <v/>
      </c>
      <c r="O604" s="2">
        <f>I604*J604/60/M604</f>
        <v/>
      </c>
      <c r="P604" s="2">
        <f>K604/J604</f>
        <v/>
      </c>
      <c r="Q604" s="2">
        <f>N604*O604*P604</f>
        <v/>
      </c>
    </row>
    <row r="605">
      <c r="A605" t="inlineStr">
        <is>
          <t>2026-07-26</t>
        </is>
      </c>
      <c r="B605" t="inlineStr">
        <is>
          <t>주간</t>
        </is>
      </c>
      <c r="C605" t="inlineStr">
        <is>
          <t>P2</t>
        </is>
      </c>
      <c r="D605" t="inlineStr">
        <is>
          <t>성형</t>
        </is>
      </c>
      <c r="E605" t="inlineStr">
        <is>
          <t>PR-02</t>
        </is>
      </c>
      <c r="F605" t="n">
        <v>480</v>
      </c>
      <c r="G605" t="n">
        <v>20</v>
      </c>
      <c r="H605" t="inlineStr">
        <is>
          <t>압력 이상</t>
        </is>
      </c>
      <c r="I605" t="n">
        <v>6</v>
      </c>
      <c r="J605" t="n">
        <v>4349</v>
      </c>
      <c r="K605" t="n">
        <v>4284</v>
      </c>
      <c r="L605" t="inlineStr">
        <is>
          <t>L-0720</t>
        </is>
      </c>
      <c r="M605">
        <f>F605-G605</f>
        <v/>
      </c>
      <c r="N605" s="2">
        <f>M605/F605</f>
        <v/>
      </c>
      <c r="O605" s="2">
        <f>I605*J605/60/M605</f>
        <v/>
      </c>
      <c r="P605" s="2">
        <f>K605/J605</f>
        <v/>
      </c>
      <c r="Q605" s="2">
        <f>N605*O605*P605</f>
        <v/>
      </c>
    </row>
    <row r="606">
      <c r="A606" t="inlineStr">
        <is>
          <t>2026-07-26</t>
        </is>
      </c>
      <c r="B606" t="inlineStr">
        <is>
          <t>주간</t>
        </is>
      </c>
      <c r="C606" t="inlineStr">
        <is>
          <t>P3</t>
        </is>
      </c>
      <c r="D606" t="inlineStr">
        <is>
          <t>소결</t>
        </is>
      </c>
      <c r="E606" t="inlineStr">
        <is>
          <t>SF-01</t>
        </is>
      </c>
      <c r="F606" t="n">
        <v>480</v>
      </c>
      <c r="G606" t="n">
        <v>21</v>
      </c>
      <c r="H606" t="inlineStr">
        <is>
          <t>승온 대기</t>
        </is>
      </c>
      <c r="I606" t="n">
        <v>6.5</v>
      </c>
      <c r="J606" t="n">
        <v>3906</v>
      </c>
      <c r="K606" t="n">
        <v>3837</v>
      </c>
      <c r="L606" t="inlineStr">
        <is>
          <t>L-0720</t>
        </is>
      </c>
      <c r="M606">
        <f>F606-G606</f>
        <v/>
      </c>
      <c r="N606" s="2">
        <f>M606/F606</f>
        <v/>
      </c>
      <c r="O606" s="2">
        <f>I606*J606/60/M606</f>
        <v/>
      </c>
      <c r="P606" s="2">
        <f>K606/J606</f>
        <v/>
      </c>
      <c r="Q606" s="2">
        <f>N606*O606*P606</f>
        <v/>
      </c>
    </row>
    <row r="607">
      <c r="A607" t="inlineStr">
        <is>
          <t>2026-07-26</t>
        </is>
      </c>
      <c r="B607" t="inlineStr">
        <is>
          <t>주간</t>
        </is>
      </c>
      <c r="C607" t="inlineStr">
        <is>
          <t>P3</t>
        </is>
      </c>
      <c r="D607" t="inlineStr">
        <is>
          <t>소결</t>
        </is>
      </c>
      <c r="E607" t="inlineStr">
        <is>
          <t>SF-02</t>
        </is>
      </c>
      <c r="F607" t="n">
        <v>480</v>
      </c>
      <c r="G607" t="n">
        <v>35</v>
      </c>
      <c r="H607" t="inlineStr">
        <is>
          <t>승온 대기</t>
        </is>
      </c>
      <c r="I607" t="n">
        <v>6.5</v>
      </c>
      <c r="J607" t="n">
        <v>4066</v>
      </c>
      <c r="K607" t="n">
        <v>4003</v>
      </c>
      <c r="L607" t="inlineStr">
        <is>
          <t>L-0720</t>
        </is>
      </c>
      <c r="M607">
        <f>F607-G607</f>
        <v/>
      </c>
      <c r="N607" s="2">
        <f>M607/F607</f>
        <v/>
      </c>
      <c r="O607" s="2">
        <f>I607*J607/60/M607</f>
        <v/>
      </c>
      <c r="P607" s="2">
        <f>K607/J607</f>
        <v/>
      </c>
      <c r="Q607" s="2">
        <f>N607*O607*P607</f>
        <v/>
      </c>
    </row>
    <row r="608">
      <c r="A608" t="inlineStr">
        <is>
          <t>2026-07-26</t>
        </is>
      </c>
      <c r="B608" t="inlineStr">
        <is>
          <t>주간</t>
        </is>
      </c>
      <c r="C608" t="inlineStr">
        <is>
          <t>P4</t>
        </is>
      </c>
      <c r="D608" t="inlineStr">
        <is>
          <t>연삭</t>
        </is>
      </c>
      <c r="E608" t="inlineStr">
        <is>
          <t>GR-01</t>
        </is>
      </c>
      <c r="F608" t="n">
        <v>480</v>
      </c>
      <c r="G608" t="n">
        <v>62</v>
      </c>
      <c r="H608" t="inlineStr">
        <is>
          <t>공구 교체</t>
        </is>
      </c>
      <c r="I608" t="n">
        <v>6.2</v>
      </c>
      <c r="J608" t="n">
        <v>3702</v>
      </c>
      <c r="K608" t="n">
        <v>3659</v>
      </c>
      <c r="L608" t="inlineStr">
        <is>
          <t>L-0720</t>
        </is>
      </c>
      <c r="M608">
        <f>F608-G608</f>
        <v/>
      </c>
      <c r="N608" s="2">
        <f>M608/F608</f>
        <v/>
      </c>
      <c r="O608" s="2">
        <f>I608*J608/60/M608</f>
        <v/>
      </c>
      <c r="P608" s="2">
        <f>K608/J608</f>
        <v/>
      </c>
      <c r="Q608" s="2">
        <f>N608*O608*P608</f>
        <v/>
      </c>
    </row>
    <row r="609">
      <c r="A609" t="inlineStr">
        <is>
          <t>2026-07-26</t>
        </is>
      </c>
      <c r="B609" t="inlineStr">
        <is>
          <t>주간</t>
        </is>
      </c>
      <c r="C609" t="inlineStr">
        <is>
          <t>P4</t>
        </is>
      </c>
      <c r="D609" t="inlineStr">
        <is>
          <t>연삭</t>
        </is>
      </c>
      <c r="E609" t="inlineStr">
        <is>
          <t>GR-02</t>
        </is>
      </c>
      <c r="F609" t="n">
        <v>480</v>
      </c>
      <c r="G609" t="n">
        <v>54</v>
      </c>
      <c r="H609" t="inlineStr">
        <is>
          <t>공구 교체</t>
        </is>
      </c>
      <c r="I609" t="n">
        <v>6.2</v>
      </c>
      <c r="J609" t="n">
        <v>3558</v>
      </c>
      <c r="K609" t="n">
        <v>3517</v>
      </c>
      <c r="L609" t="inlineStr">
        <is>
          <t>L-0720</t>
        </is>
      </c>
      <c r="M609">
        <f>F609-G609</f>
        <v/>
      </c>
      <c r="N609" s="2">
        <f>M609/F609</f>
        <v/>
      </c>
      <c r="O609" s="2">
        <f>I609*J609/60/M609</f>
        <v/>
      </c>
      <c r="P609" s="2">
        <f>K609/J609</f>
        <v/>
      </c>
      <c r="Q609" s="2">
        <f>N609*O609*P609</f>
        <v/>
      </c>
    </row>
    <row r="610">
      <c r="A610" t="inlineStr">
        <is>
          <t>2026-07-26</t>
        </is>
      </c>
      <c r="B610" t="inlineStr">
        <is>
          <t>주간</t>
        </is>
      </c>
      <c r="C610" t="inlineStr">
        <is>
          <t>P5</t>
        </is>
      </c>
      <c r="D610" t="inlineStr">
        <is>
          <t>검사</t>
        </is>
      </c>
      <c r="E610" t="inlineStr">
        <is>
          <t>IN-01</t>
        </is>
      </c>
      <c r="F610" t="n">
        <v>480</v>
      </c>
      <c r="G610" t="n">
        <v>12</v>
      </c>
      <c r="H610" t="inlineStr">
        <is>
          <t>측정기 교정</t>
        </is>
      </c>
      <c r="I610" t="n">
        <v>5.5</v>
      </c>
      <c r="J610" t="n">
        <v>4886</v>
      </c>
      <c r="K610" t="n">
        <v>4872</v>
      </c>
      <c r="L610" t="inlineStr">
        <is>
          <t>L-0720</t>
        </is>
      </c>
      <c r="M610">
        <f>F610-G610</f>
        <v/>
      </c>
      <c r="N610" s="2">
        <f>M610/F610</f>
        <v/>
      </c>
      <c r="O610" s="2">
        <f>I610*J610/60/M610</f>
        <v/>
      </c>
      <c r="P610" s="2">
        <f>K610/J610</f>
        <v/>
      </c>
      <c r="Q610" s="2">
        <f>N610*O610*P610</f>
        <v/>
      </c>
    </row>
    <row r="611">
      <c r="A611" t="inlineStr">
        <is>
          <t>2026-07-26</t>
        </is>
      </c>
      <c r="B611" t="inlineStr">
        <is>
          <t>주간</t>
        </is>
      </c>
      <c r="C611" t="inlineStr">
        <is>
          <t>P5</t>
        </is>
      </c>
      <c r="D611" t="inlineStr">
        <is>
          <t>검사</t>
        </is>
      </c>
      <c r="E611" t="inlineStr">
        <is>
          <t>IN-02</t>
        </is>
      </c>
      <c r="F611" t="n">
        <v>480</v>
      </c>
      <c r="G611" t="n">
        <v>33</v>
      </c>
      <c r="H611" t="inlineStr">
        <is>
          <t>샘플 재검</t>
        </is>
      </c>
      <c r="I611" t="n">
        <v>5.5</v>
      </c>
      <c r="J611" t="n">
        <v>4557</v>
      </c>
      <c r="K611" t="n">
        <v>4542</v>
      </c>
      <c r="L611" t="inlineStr">
        <is>
          <t>L-0720</t>
        </is>
      </c>
      <c r="M611">
        <f>F611-G611</f>
        <v/>
      </c>
      <c r="N611" s="2">
        <f>M611/F611</f>
        <v/>
      </c>
      <c r="O611" s="2">
        <f>I611*J611/60/M611</f>
        <v/>
      </c>
      <c r="P611" s="2">
        <f>K611/J611</f>
        <v/>
      </c>
      <c r="Q611" s="2">
        <f>N611*O611*P611</f>
        <v/>
      </c>
    </row>
    <row r="612">
      <c r="A612" t="inlineStr">
        <is>
          <t>2026-07-26</t>
        </is>
      </c>
      <c r="B612" t="inlineStr">
        <is>
          <t>주간</t>
        </is>
      </c>
      <c r="C612" t="inlineStr">
        <is>
          <t>P6</t>
        </is>
      </c>
      <c r="D612" t="inlineStr">
        <is>
          <t>포장</t>
        </is>
      </c>
      <c r="E612" t="inlineStr">
        <is>
          <t>PK-01</t>
        </is>
      </c>
      <c r="F612" t="n">
        <v>480</v>
      </c>
      <c r="G612" t="n">
        <v>31</v>
      </c>
      <c r="H612" t="inlineStr">
        <is>
          <t>자재 대기</t>
        </is>
      </c>
      <c r="I612" t="n">
        <v>4.8</v>
      </c>
      <c r="J612" t="n">
        <v>5462</v>
      </c>
      <c r="K612" t="n">
        <v>5451</v>
      </c>
      <c r="L612" t="inlineStr">
        <is>
          <t>L-0720</t>
        </is>
      </c>
      <c r="M612">
        <f>F612-G612</f>
        <v/>
      </c>
      <c r="N612" s="2">
        <f>M612/F612</f>
        <v/>
      </c>
      <c r="O612" s="2">
        <f>I612*J612/60/M612</f>
        <v/>
      </c>
      <c r="P612" s="2">
        <f>K612/J612</f>
        <v/>
      </c>
      <c r="Q612" s="2">
        <f>N612*O612*P612</f>
        <v/>
      </c>
    </row>
    <row r="613">
      <c r="A613" t="inlineStr">
        <is>
          <t>2026-07-26</t>
        </is>
      </c>
      <c r="B613" t="inlineStr">
        <is>
          <t>주간</t>
        </is>
      </c>
      <c r="C613" t="inlineStr">
        <is>
          <t>P6</t>
        </is>
      </c>
      <c r="D613" t="inlineStr">
        <is>
          <t>포장</t>
        </is>
      </c>
      <c r="E613" t="inlineStr">
        <is>
          <t>PK-02</t>
        </is>
      </c>
      <c r="F613" t="n">
        <v>480</v>
      </c>
      <c r="G613" t="n">
        <v>7</v>
      </c>
      <c r="H613" t="inlineStr">
        <is>
          <t>자재 대기</t>
        </is>
      </c>
      <c r="I613" t="n">
        <v>4.8</v>
      </c>
      <c r="J613" t="n">
        <v>5309</v>
      </c>
      <c r="K613" t="n">
        <v>5298</v>
      </c>
      <c r="L613" t="inlineStr">
        <is>
          <t>L-0720</t>
        </is>
      </c>
      <c r="M613">
        <f>F613-G613</f>
        <v/>
      </c>
      <c r="N613" s="2">
        <f>M613/F613</f>
        <v/>
      </c>
      <c r="O613" s="2">
        <f>I613*J613/60/M613</f>
        <v/>
      </c>
      <c r="P613" s="2">
        <f>K613/J613</f>
        <v/>
      </c>
      <c r="Q613" s="2">
        <f>N613*O613*P613</f>
        <v/>
      </c>
    </row>
    <row r="614">
      <c r="A614" t="inlineStr">
        <is>
          <t>2026-07-26</t>
        </is>
      </c>
      <c r="B614" t="inlineStr">
        <is>
          <t>야간</t>
        </is>
      </c>
      <c r="C614" t="inlineStr">
        <is>
          <t>P1</t>
        </is>
      </c>
      <c r="D614" t="inlineStr">
        <is>
          <t>원료혼합</t>
        </is>
      </c>
      <c r="E614" t="inlineStr">
        <is>
          <t>MX-01</t>
        </is>
      </c>
      <c r="F614" t="n">
        <v>480</v>
      </c>
      <c r="G614" t="n">
        <v>21</v>
      </c>
      <c r="H614" t="inlineStr">
        <is>
          <t>배합 확인</t>
        </is>
      </c>
      <c r="I614" t="n">
        <v>5</v>
      </c>
      <c r="J614" t="n">
        <v>5193</v>
      </c>
      <c r="K614" t="n">
        <v>5157</v>
      </c>
      <c r="L614" t="inlineStr">
        <is>
          <t>L-0720</t>
        </is>
      </c>
      <c r="M614">
        <f>F614-G614</f>
        <v/>
      </c>
      <c r="N614" s="2">
        <f>M614/F614</f>
        <v/>
      </c>
      <c r="O614" s="2">
        <f>I614*J614/60/M614</f>
        <v/>
      </c>
      <c r="P614" s="2">
        <f>K614/J614</f>
        <v/>
      </c>
      <c r="Q614" s="2">
        <f>N614*O614*P614</f>
        <v/>
      </c>
    </row>
    <row r="615">
      <c r="A615" t="inlineStr">
        <is>
          <t>2026-07-26</t>
        </is>
      </c>
      <c r="B615" t="inlineStr">
        <is>
          <t>야간</t>
        </is>
      </c>
      <c r="C615" t="inlineStr">
        <is>
          <t>P1</t>
        </is>
      </c>
      <c r="D615" t="inlineStr">
        <is>
          <t>원료혼합</t>
        </is>
      </c>
      <c r="E615" t="inlineStr">
        <is>
          <t>MX-02</t>
        </is>
      </c>
      <c r="F615" t="n">
        <v>480</v>
      </c>
      <c r="G615" t="n">
        <v>22</v>
      </c>
      <c r="H615" t="inlineStr">
        <is>
          <t>원료 대기</t>
        </is>
      </c>
      <c r="I615" t="n">
        <v>5</v>
      </c>
      <c r="J615" t="n">
        <v>5089</v>
      </c>
      <c r="K615" t="n">
        <v>5050</v>
      </c>
      <c r="L615" t="inlineStr">
        <is>
          <t>L-0720</t>
        </is>
      </c>
      <c r="M615">
        <f>F615-G615</f>
        <v/>
      </c>
      <c r="N615" s="2">
        <f>M615/F615</f>
        <v/>
      </c>
      <c r="O615" s="2">
        <f>I615*J615/60/M615</f>
        <v/>
      </c>
      <c r="P615" s="2">
        <f>K615/J615</f>
        <v/>
      </c>
      <c r="Q615" s="2">
        <f>N615*O615*P615</f>
        <v/>
      </c>
    </row>
    <row r="616">
      <c r="A616" t="inlineStr">
        <is>
          <t>2026-07-26</t>
        </is>
      </c>
      <c r="B616" t="inlineStr">
        <is>
          <t>야간</t>
        </is>
      </c>
      <c r="C616" t="inlineStr">
        <is>
          <t>P2</t>
        </is>
      </c>
      <c r="D616" t="inlineStr">
        <is>
          <t>성형</t>
        </is>
      </c>
      <c r="E616" t="inlineStr">
        <is>
          <t>PR-01</t>
        </is>
      </c>
      <c r="F616" t="n">
        <v>480</v>
      </c>
      <c r="G616" t="n">
        <v>20</v>
      </c>
      <c r="H616" t="inlineStr">
        <is>
          <t>분말 공급 지연</t>
        </is>
      </c>
      <c r="I616" t="n">
        <v>6</v>
      </c>
      <c r="J616" t="n">
        <v>4446</v>
      </c>
      <c r="K616" t="n">
        <v>4380</v>
      </c>
      <c r="L616" t="inlineStr">
        <is>
          <t>L-0720</t>
        </is>
      </c>
      <c r="M616">
        <f>F616-G616</f>
        <v/>
      </c>
      <c r="N616" s="2">
        <f>M616/F616</f>
        <v/>
      </c>
      <c r="O616" s="2">
        <f>I616*J616/60/M616</f>
        <v/>
      </c>
      <c r="P616" s="2">
        <f>K616/J616</f>
        <v/>
      </c>
      <c r="Q616" s="2">
        <f>N616*O616*P616</f>
        <v/>
      </c>
    </row>
    <row r="617">
      <c r="A617" t="inlineStr">
        <is>
          <t>2026-07-26</t>
        </is>
      </c>
      <c r="B617" t="inlineStr">
        <is>
          <t>야간</t>
        </is>
      </c>
      <c r="C617" t="inlineStr">
        <is>
          <t>P2</t>
        </is>
      </c>
      <c r="D617" t="inlineStr">
        <is>
          <t>성형</t>
        </is>
      </c>
      <c r="E617" t="inlineStr">
        <is>
          <t>PR-02</t>
        </is>
      </c>
      <c r="F617" t="n">
        <v>480</v>
      </c>
      <c r="G617" t="n">
        <v>2</v>
      </c>
      <c r="H617" t="inlineStr">
        <is>
          <t>분말 공급 지연</t>
        </is>
      </c>
      <c r="I617" t="n">
        <v>6</v>
      </c>
      <c r="J617" t="n">
        <v>4538</v>
      </c>
      <c r="K617" t="n">
        <v>4461</v>
      </c>
      <c r="L617" t="inlineStr">
        <is>
          <t>L-0720</t>
        </is>
      </c>
      <c r="M617">
        <f>F617-G617</f>
        <v/>
      </c>
      <c r="N617" s="2">
        <f>M617/F617</f>
        <v/>
      </c>
      <c r="O617" s="2">
        <f>I617*J617/60/M617</f>
        <v/>
      </c>
      <c r="P617" s="2">
        <f>K617/J617</f>
        <v/>
      </c>
      <c r="Q617" s="2">
        <f>N617*O617*P617</f>
        <v/>
      </c>
    </row>
    <row r="618">
      <c r="A618" t="inlineStr">
        <is>
          <t>2026-07-26</t>
        </is>
      </c>
      <c r="B618" t="inlineStr">
        <is>
          <t>야간</t>
        </is>
      </c>
      <c r="C618" t="inlineStr">
        <is>
          <t>P3</t>
        </is>
      </c>
      <c r="D618" t="inlineStr">
        <is>
          <t>소결</t>
        </is>
      </c>
      <c r="E618" t="inlineStr">
        <is>
          <t>SF-01</t>
        </is>
      </c>
      <c r="F618" t="n">
        <v>480</v>
      </c>
      <c r="G618" t="n">
        <v>46</v>
      </c>
      <c r="H618" t="inlineStr">
        <is>
          <t>장입 대기</t>
        </is>
      </c>
      <c r="I618" t="n">
        <v>6.5</v>
      </c>
      <c r="J618" t="n">
        <v>3678</v>
      </c>
      <c r="K618" t="n">
        <v>3578</v>
      </c>
      <c r="L618" t="inlineStr">
        <is>
          <t>L-0720</t>
        </is>
      </c>
      <c r="M618">
        <f>F618-G618</f>
        <v/>
      </c>
      <c r="N618" s="2">
        <f>M618/F618</f>
        <v/>
      </c>
      <c r="O618" s="2">
        <f>I618*J618/60/M618</f>
        <v/>
      </c>
      <c r="P618" s="2">
        <f>K618/J618</f>
        <v/>
      </c>
      <c r="Q618" s="2">
        <f>N618*O618*P618</f>
        <v/>
      </c>
    </row>
    <row r="619">
      <c r="A619" t="inlineStr">
        <is>
          <t>2026-07-26</t>
        </is>
      </c>
      <c r="B619" t="inlineStr">
        <is>
          <t>야간</t>
        </is>
      </c>
      <c r="C619" t="inlineStr">
        <is>
          <t>P3</t>
        </is>
      </c>
      <c r="D619" t="inlineStr">
        <is>
          <t>소결</t>
        </is>
      </c>
      <c r="E619" t="inlineStr">
        <is>
          <t>SF-02</t>
        </is>
      </c>
      <c r="F619" t="n">
        <v>480</v>
      </c>
      <c r="G619" t="n">
        <v>80</v>
      </c>
      <c r="H619" t="inlineStr">
        <is>
          <t>승온 대기</t>
        </is>
      </c>
      <c r="I619" t="n">
        <v>6.5</v>
      </c>
      <c r="J619" t="n">
        <v>3288</v>
      </c>
      <c r="K619" t="n">
        <v>3228</v>
      </c>
      <c r="L619" t="inlineStr">
        <is>
          <t>L-0720</t>
        </is>
      </c>
      <c r="M619">
        <f>F619-G619</f>
        <v/>
      </c>
      <c r="N619" s="2">
        <f>M619/F619</f>
        <v/>
      </c>
      <c r="O619" s="2">
        <f>I619*J619/60/M619</f>
        <v/>
      </c>
      <c r="P619" s="2">
        <f>K619/J619</f>
        <v/>
      </c>
      <c r="Q619" s="2">
        <f>N619*O619*P619</f>
        <v/>
      </c>
    </row>
    <row r="620">
      <c r="A620" t="inlineStr">
        <is>
          <t>2026-07-26</t>
        </is>
      </c>
      <c r="B620" t="inlineStr">
        <is>
          <t>야간</t>
        </is>
      </c>
      <c r="C620" t="inlineStr">
        <is>
          <t>P4</t>
        </is>
      </c>
      <c r="D620" t="inlineStr">
        <is>
          <t>연삭</t>
        </is>
      </c>
      <c r="E620" t="inlineStr">
        <is>
          <t>GR-01</t>
        </is>
      </c>
      <c r="F620" t="n">
        <v>480</v>
      </c>
      <c r="G620" t="n">
        <v>42</v>
      </c>
      <c r="H620" t="inlineStr">
        <is>
          <t>드레싱</t>
        </is>
      </c>
      <c r="I620" t="n">
        <v>6.2</v>
      </c>
      <c r="J620" t="n">
        <v>4110</v>
      </c>
      <c r="K620" t="n">
        <v>4065</v>
      </c>
      <c r="L620" t="inlineStr">
        <is>
          <t>L-0720</t>
        </is>
      </c>
      <c r="M620">
        <f>F620-G620</f>
        <v/>
      </c>
      <c r="N620" s="2">
        <f>M620/F620</f>
        <v/>
      </c>
      <c r="O620" s="2">
        <f>I620*J620/60/M620</f>
        <v/>
      </c>
      <c r="P620" s="2">
        <f>K620/J620</f>
        <v/>
      </c>
      <c r="Q620" s="2">
        <f>N620*O620*P620</f>
        <v/>
      </c>
    </row>
    <row r="621">
      <c r="A621" t="inlineStr">
        <is>
          <t>2026-07-26</t>
        </is>
      </c>
      <c r="B621" t="inlineStr">
        <is>
          <t>야간</t>
        </is>
      </c>
      <c r="C621" t="inlineStr">
        <is>
          <t>P4</t>
        </is>
      </c>
      <c r="D621" t="inlineStr">
        <is>
          <t>연삭</t>
        </is>
      </c>
      <c r="E621" t="inlineStr">
        <is>
          <t>GR-02</t>
        </is>
      </c>
      <c r="F621" t="n">
        <v>480</v>
      </c>
      <c r="G621" t="n">
        <v>44</v>
      </c>
      <c r="H621" t="inlineStr">
        <is>
          <t>드레싱</t>
        </is>
      </c>
      <c r="I621" t="n">
        <v>6.2</v>
      </c>
      <c r="J621" t="n">
        <v>3852</v>
      </c>
      <c r="K621" t="n">
        <v>3813</v>
      </c>
      <c r="L621" t="inlineStr">
        <is>
          <t>L-0720</t>
        </is>
      </c>
      <c r="M621">
        <f>F621-G621</f>
        <v/>
      </c>
      <c r="N621" s="2">
        <f>M621/F621</f>
        <v/>
      </c>
      <c r="O621" s="2">
        <f>I621*J621/60/M621</f>
        <v/>
      </c>
      <c r="P621" s="2">
        <f>K621/J621</f>
        <v/>
      </c>
      <c r="Q621" s="2">
        <f>N621*O621*P621</f>
        <v/>
      </c>
    </row>
    <row r="622">
      <c r="A622" t="inlineStr">
        <is>
          <t>2026-07-26</t>
        </is>
      </c>
      <c r="B622" t="inlineStr">
        <is>
          <t>야간</t>
        </is>
      </c>
      <c r="C622" t="inlineStr">
        <is>
          <t>P5</t>
        </is>
      </c>
      <c r="D622" t="inlineStr">
        <is>
          <t>검사</t>
        </is>
      </c>
      <c r="E622" t="inlineStr">
        <is>
          <t>IN-01</t>
        </is>
      </c>
      <c r="F622" t="n">
        <v>480</v>
      </c>
      <c r="G622" t="n">
        <v>17</v>
      </c>
      <c r="H622" t="inlineStr">
        <is>
          <t>샘플 재검</t>
        </is>
      </c>
      <c r="I622" t="n">
        <v>5.5</v>
      </c>
      <c r="J622" t="n">
        <v>4864</v>
      </c>
      <c r="K622" t="n">
        <v>4842</v>
      </c>
      <c r="L622" t="inlineStr">
        <is>
          <t>L-0720</t>
        </is>
      </c>
      <c r="M622">
        <f>F622-G622</f>
        <v/>
      </c>
      <c r="N622" s="2">
        <f>M622/F622</f>
        <v/>
      </c>
      <c r="O622" s="2">
        <f>I622*J622/60/M622</f>
        <v/>
      </c>
      <c r="P622" s="2">
        <f>K622/J622</f>
        <v/>
      </c>
      <c r="Q622" s="2">
        <f>N622*O622*P622</f>
        <v/>
      </c>
    </row>
    <row r="623">
      <c r="A623" t="inlineStr">
        <is>
          <t>2026-07-26</t>
        </is>
      </c>
      <c r="B623" t="inlineStr">
        <is>
          <t>야간</t>
        </is>
      </c>
      <c r="C623" t="inlineStr">
        <is>
          <t>P5</t>
        </is>
      </c>
      <c r="D623" t="inlineStr">
        <is>
          <t>검사</t>
        </is>
      </c>
      <c r="E623" t="inlineStr">
        <is>
          <t>IN-02</t>
        </is>
      </c>
      <c r="F623" t="n">
        <v>480</v>
      </c>
      <c r="G623" t="n">
        <v>23</v>
      </c>
      <c r="H623" t="inlineStr">
        <is>
          <t>샘플 재검</t>
        </is>
      </c>
      <c r="I623" t="n">
        <v>5.5</v>
      </c>
      <c r="J623" t="n">
        <v>4588</v>
      </c>
      <c r="K623" t="n">
        <v>4567</v>
      </c>
      <c r="L623" t="inlineStr">
        <is>
          <t>L-0720</t>
        </is>
      </c>
      <c r="M623">
        <f>F623-G623</f>
        <v/>
      </c>
      <c r="N623" s="2">
        <f>M623/F623</f>
        <v/>
      </c>
      <c r="O623" s="2">
        <f>I623*J623/60/M623</f>
        <v/>
      </c>
      <c r="P623" s="2">
        <f>K623/J623</f>
        <v/>
      </c>
      <c r="Q623" s="2">
        <f>N623*O623*P623</f>
        <v/>
      </c>
    </row>
    <row r="624">
      <c r="A624" t="inlineStr">
        <is>
          <t>2026-07-26</t>
        </is>
      </c>
      <c r="B624" t="inlineStr">
        <is>
          <t>야간</t>
        </is>
      </c>
      <c r="C624" t="inlineStr">
        <is>
          <t>P6</t>
        </is>
      </c>
      <c r="D624" t="inlineStr">
        <is>
          <t>포장</t>
        </is>
      </c>
      <c r="E624" t="inlineStr">
        <is>
          <t>PK-01</t>
        </is>
      </c>
      <c r="F624" t="n">
        <v>480</v>
      </c>
      <c r="G624" t="n">
        <v>58</v>
      </c>
      <c r="H624" t="inlineStr">
        <is>
          <t>라벨 교체</t>
        </is>
      </c>
      <c r="I624" t="n">
        <v>4.8</v>
      </c>
      <c r="J624" t="n">
        <v>4937</v>
      </c>
      <c r="K624" t="n">
        <v>4921</v>
      </c>
      <c r="L624" t="inlineStr">
        <is>
          <t>L-0720</t>
        </is>
      </c>
      <c r="M624">
        <f>F624-G624</f>
        <v/>
      </c>
      <c r="N624" s="2">
        <f>M624/F624</f>
        <v/>
      </c>
      <c r="O624" s="2">
        <f>I624*J624/60/M624</f>
        <v/>
      </c>
      <c r="P624" s="2">
        <f>K624/J624</f>
        <v/>
      </c>
      <c r="Q624" s="2">
        <f>N624*O624*P624</f>
        <v/>
      </c>
    </row>
    <row r="625">
      <c r="A625" t="inlineStr">
        <is>
          <t>2026-07-26</t>
        </is>
      </c>
      <c r="B625" t="inlineStr">
        <is>
          <t>야간</t>
        </is>
      </c>
      <c r="C625" t="inlineStr">
        <is>
          <t>P6</t>
        </is>
      </c>
      <c r="D625" t="inlineStr">
        <is>
          <t>포장</t>
        </is>
      </c>
      <c r="E625" t="inlineStr">
        <is>
          <t>PK-02</t>
        </is>
      </c>
      <c r="F625" t="n">
        <v>480</v>
      </c>
      <c r="G625" t="n">
        <v>9</v>
      </c>
      <c r="H625" t="inlineStr">
        <is>
          <t>라벨 교체</t>
        </is>
      </c>
      <c r="I625" t="n">
        <v>4.8</v>
      </c>
      <c r="J625" t="n">
        <v>5446</v>
      </c>
      <c r="K625" t="n">
        <v>5427</v>
      </c>
      <c r="L625" t="inlineStr">
        <is>
          <t>L-0720</t>
        </is>
      </c>
      <c r="M625">
        <f>F625-G625</f>
        <v/>
      </c>
      <c r="N625" s="2">
        <f>M625/F625</f>
        <v/>
      </c>
      <c r="O625" s="2">
        <f>I625*J625/60/M625</f>
        <v/>
      </c>
      <c r="P625" s="2">
        <f>K625/J625</f>
        <v/>
      </c>
      <c r="Q625" s="2">
        <f>N625*O625*P625</f>
        <v/>
      </c>
    </row>
    <row r="626">
      <c r="A626" t="inlineStr">
        <is>
          <t>2026-07-27</t>
        </is>
      </c>
      <c r="B626" t="inlineStr">
        <is>
          <t>주간</t>
        </is>
      </c>
      <c r="C626" t="inlineStr">
        <is>
          <t>P1</t>
        </is>
      </c>
      <c r="D626" t="inlineStr">
        <is>
          <t>원료혼합</t>
        </is>
      </c>
      <c r="E626" t="inlineStr">
        <is>
          <t>MX-01</t>
        </is>
      </c>
      <c r="F626" t="n">
        <v>480</v>
      </c>
      <c r="G626" t="n">
        <v>25</v>
      </c>
      <c r="H626" t="inlineStr">
        <is>
          <t>배합 확인</t>
        </is>
      </c>
      <c r="I626" t="n">
        <v>5</v>
      </c>
      <c r="J626" t="n">
        <v>5203</v>
      </c>
      <c r="K626" t="n">
        <v>5167</v>
      </c>
      <c r="L626" t="inlineStr">
        <is>
          <t>L-0720</t>
        </is>
      </c>
      <c r="M626">
        <f>F626-G626</f>
        <v/>
      </c>
      <c r="N626" s="2">
        <f>M626/F626</f>
        <v/>
      </c>
      <c r="O626" s="2">
        <f>I626*J626/60/M626</f>
        <v/>
      </c>
      <c r="P626" s="2">
        <f>K626/J626</f>
        <v/>
      </c>
      <c r="Q626" s="2">
        <f>N626*O626*P626</f>
        <v/>
      </c>
    </row>
    <row r="627">
      <c r="A627" t="inlineStr">
        <is>
          <t>2026-07-27</t>
        </is>
      </c>
      <c r="B627" t="inlineStr">
        <is>
          <t>주간</t>
        </is>
      </c>
      <c r="C627" t="inlineStr">
        <is>
          <t>P1</t>
        </is>
      </c>
      <c r="D627" t="inlineStr">
        <is>
          <t>원료혼합</t>
        </is>
      </c>
      <c r="E627" t="inlineStr">
        <is>
          <t>MX-02</t>
        </is>
      </c>
      <c r="F627" t="n">
        <v>480</v>
      </c>
      <c r="G627" t="n">
        <v>38</v>
      </c>
      <c r="H627" t="inlineStr">
        <is>
          <t>배합 확인</t>
        </is>
      </c>
      <c r="I627" t="n">
        <v>5</v>
      </c>
      <c r="J627" t="n">
        <v>5124</v>
      </c>
      <c r="K627" t="n">
        <v>5092</v>
      </c>
      <c r="L627" t="inlineStr">
        <is>
          <t>L-0720</t>
        </is>
      </c>
      <c r="M627">
        <f>F627-G627</f>
        <v/>
      </c>
      <c r="N627" s="2">
        <f>M627/F627</f>
        <v/>
      </c>
      <c r="O627" s="2">
        <f>I627*J627/60/M627</f>
        <v/>
      </c>
      <c r="P627" s="2">
        <f>K627/J627</f>
        <v/>
      </c>
      <c r="Q627" s="2">
        <f>N627*O627*P627</f>
        <v/>
      </c>
    </row>
    <row r="628">
      <c r="A628" t="inlineStr">
        <is>
          <t>2026-07-27</t>
        </is>
      </c>
      <c r="B628" t="inlineStr">
        <is>
          <t>주간</t>
        </is>
      </c>
      <c r="C628" t="inlineStr">
        <is>
          <t>P2</t>
        </is>
      </c>
      <c r="D628" t="inlineStr">
        <is>
          <t>성형</t>
        </is>
      </c>
      <c r="E628" t="inlineStr">
        <is>
          <t>PR-01</t>
        </is>
      </c>
      <c r="F628" t="n">
        <v>480</v>
      </c>
      <c r="G628" t="n">
        <v>15</v>
      </c>
      <c r="H628" t="inlineStr">
        <is>
          <t>금형 교체</t>
        </is>
      </c>
      <c r="I628" t="n">
        <v>6</v>
      </c>
      <c r="J628" t="n">
        <v>4383</v>
      </c>
      <c r="K628" t="n">
        <v>4340</v>
      </c>
      <c r="L628" t="inlineStr">
        <is>
          <t>L-0720</t>
        </is>
      </c>
      <c r="M628">
        <f>F628-G628</f>
        <v/>
      </c>
      <c r="N628" s="2">
        <f>M628/F628</f>
        <v/>
      </c>
      <c r="O628" s="2">
        <f>I628*J628/60/M628</f>
        <v/>
      </c>
      <c r="P628" s="2">
        <f>K628/J628</f>
        <v/>
      </c>
      <c r="Q628" s="2">
        <f>N628*O628*P628</f>
        <v/>
      </c>
    </row>
    <row r="629">
      <c r="A629" t="inlineStr">
        <is>
          <t>2026-07-27</t>
        </is>
      </c>
      <c r="B629" t="inlineStr">
        <is>
          <t>주간</t>
        </is>
      </c>
      <c r="C629" t="inlineStr">
        <is>
          <t>P2</t>
        </is>
      </c>
      <c r="D629" t="inlineStr">
        <is>
          <t>성형</t>
        </is>
      </c>
      <c r="E629" t="inlineStr">
        <is>
          <t>PR-02</t>
        </is>
      </c>
      <c r="F629" t="n">
        <v>480</v>
      </c>
      <c r="G629" t="n">
        <v>7</v>
      </c>
      <c r="H629" t="inlineStr">
        <is>
          <t>금형 교체</t>
        </is>
      </c>
      <c r="I629" t="n">
        <v>6</v>
      </c>
      <c r="J629" t="n">
        <v>4394</v>
      </c>
      <c r="K629" t="n">
        <v>4343</v>
      </c>
      <c r="L629" t="inlineStr">
        <is>
          <t>L-0720</t>
        </is>
      </c>
      <c r="M629">
        <f>F629-G629</f>
        <v/>
      </c>
      <c r="N629" s="2">
        <f>M629/F629</f>
        <v/>
      </c>
      <c r="O629" s="2">
        <f>I629*J629/60/M629</f>
        <v/>
      </c>
      <c r="P629" s="2">
        <f>K629/J629</f>
        <v/>
      </c>
      <c r="Q629" s="2">
        <f>N629*O629*P629</f>
        <v/>
      </c>
    </row>
    <row r="630">
      <c r="A630" t="inlineStr">
        <is>
          <t>2026-07-27</t>
        </is>
      </c>
      <c r="B630" t="inlineStr">
        <is>
          <t>주간</t>
        </is>
      </c>
      <c r="C630" t="inlineStr">
        <is>
          <t>P3</t>
        </is>
      </c>
      <c r="D630" t="inlineStr">
        <is>
          <t>소결</t>
        </is>
      </c>
      <c r="E630" t="inlineStr">
        <is>
          <t>SF-01</t>
        </is>
      </c>
      <c r="F630" t="n">
        <v>480</v>
      </c>
      <c r="G630" t="n">
        <v>47</v>
      </c>
      <c r="H630" t="inlineStr">
        <is>
          <t>온도 이상 정지</t>
        </is>
      </c>
      <c r="I630" t="n">
        <v>6.5</v>
      </c>
      <c r="J630" t="n">
        <v>3724</v>
      </c>
      <c r="K630" t="n">
        <v>3651</v>
      </c>
      <c r="L630" t="inlineStr">
        <is>
          <t>L-0720</t>
        </is>
      </c>
      <c r="M630">
        <f>F630-G630</f>
        <v/>
      </c>
      <c r="N630" s="2">
        <f>M630/F630</f>
        <v/>
      </c>
      <c r="O630" s="2">
        <f>I630*J630/60/M630</f>
        <v/>
      </c>
      <c r="P630" s="2">
        <f>K630/J630</f>
        <v/>
      </c>
      <c r="Q630" s="2">
        <f>N630*O630*P630</f>
        <v/>
      </c>
    </row>
    <row r="631">
      <c r="A631" t="inlineStr">
        <is>
          <t>2026-07-27</t>
        </is>
      </c>
      <c r="B631" t="inlineStr">
        <is>
          <t>주간</t>
        </is>
      </c>
      <c r="C631" t="inlineStr">
        <is>
          <t>P3</t>
        </is>
      </c>
      <c r="D631" t="inlineStr">
        <is>
          <t>소결</t>
        </is>
      </c>
      <c r="E631" t="inlineStr">
        <is>
          <t>SF-02</t>
        </is>
      </c>
      <c r="F631" t="n">
        <v>480</v>
      </c>
      <c r="G631" t="n">
        <v>51</v>
      </c>
      <c r="H631" t="inlineStr">
        <is>
          <t>온도 이상 정지</t>
        </is>
      </c>
      <c r="I631" t="n">
        <v>6.5</v>
      </c>
      <c r="J631" t="n">
        <v>3769</v>
      </c>
      <c r="K631" t="n">
        <v>3709</v>
      </c>
      <c r="L631" t="inlineStr">
        <is>
          <t>L-0720</t>
        </is>
      </c>
      <c r="M631">
        <f>F631-G631</f>
        <v/>
      </c>
      <c r="N631" s="2">
        <f>M631/F631</f>
        <v/>
      </c>
      <c r="O631" s="2">
        <f>I631*J631/60/M631</f>
        <v/>
      </c>
      <c r="P631" s="2">
        <f>K631/J631</f>
        <v/>
      </c>
      <c r="Q631" s="2">
        <f>N631*O631*P631</f>
        <v/>
      </c>
    </row>
    <row r="632">
      <c r="A632" t="inlineStr">
        <is>
          <t>2026-07-27</t>
        </is>
      </c>
      <c r="B632" t="inlineStr">
        <is>
          <t>주간</t>
        </is>
      </c>
      <c r="C632" t="inlineStr">
        <is>
          <t>P4</t>
        </is>
      </c>
      <c r="D632" t="inlineStr">
        <is>
          <t>연삭</t>
        </is>
      </c>
      <c r="E632" t="inlineStr">
        <is>
          <t>GR-01</t>
        </is>
      </c>
      <c r="F632" t="n">
        <v>480</v>
      </c>
      <c r="G632" t="n">
        <v>53</v>
      </c>
      <c r="H632" t="inlineStr">
        <is>
          <t>공구 교체</t>
        </is>
      </c>
      <c r="I632" t="n">
        <v>6.2</v>
      </c>
      <c r="J632" t="n">
        <v>3940</v>
      </c>
      <c r="K632" t="n">
        <v>3906</v>
      </c>
      <c r="L632" t="inlineStr">
        <is>
          <t>L-0720</t>
        </is>
      </c>
      <c r="M632">
        <f>F632-G632</f>
        <v/>
      </c>
      <c r="N632" s="2">
        <f>M632/F632</f>
        <v/>
      </c>
      <c r="O632" s="2">
        <f>I632*J632/60/M632</f>
        <v/>
      </c>
      <c r="P632" s="2">
        <f>K632/J632</f>
        <v/>
      </c>
      <c r="Q632" s="2">
        <f>N632*O632*P632</f>
        <v/>
      </c>
    </row>
    <row r="633">
      <c r="A633" t="inlineStr">
        <is>
          <t>2026-07-27</t>
        </is>
      </c>
      <c r="B633" t="inlineStr">
        <is>
          <t>주간</t>
        </is>
      </c>
      <c r="C633" t="inlineStr">
        <is>
          <t>P4</t>
        </is>
      </c>
      <c r="D633" t="inlineStr">
        <is>
          <t>연삭</t>
        </is>
      </c>
      <c r="E633" t="inlineStr">
        <is>
          <t>GR-02</t>
        </is>
      </c>
      <c r="F633" t="n">
        <v>480</v>
      </c>
      <c r="G633" t="n">
        <v>100</v>
      </c>
      <c r="H633" t="inlineStr">
        <is>
          <t>공구 교체</t>
        </is>
      </c>
      <c r="I633" t="n">
        <v>6.2</v>
      </c>
      <c r="J633" t="n">
        <v>3420</v>
      </c>
      <c r="K633" t="n">
        <v>3383</v>
      </c>
      <c r="L633" t="inlineStr">
        <is>
          <t>L-0720</t>
        </is>
      </c>
      <c r="M633">
        <f>F633-G633</f>
        <v/>
      </c>
      <c r="N633" s="2">
        <f>M633/F633</f>
        <v/>
      </c>
      <c r="O633" s="2">
        <f>I633*J633/60/M633</f>
        <v/>
      </c>
      <c r="P633" s="2">
        <f>K633/J633</f>
        <v/>
      </c>
      <c r="Q633" s="2">
        <f>N633*O633*P633</f>
        <v/>
      </c>
    </row>
    <row r="634">
      <c r="A634" t="inlineStr">
        <is>
          <t>2026-07-27</t>
        </is>
      </c>
      <c r="B634" t="inlineStr">
        <is>
          <t>주간</t>
        </is>
      </c>
      <c r="C634" t="inlineStr">
        <is>
          <t>P5</t>
        </is>
      </c>
      <c r="D634" t="inlineStr">
        <is>
          <t>검사</t>
        </is>
      </c>
      <c r="E634" t="inlineStr">
        <is>
          <t>IN-01</t>
        </is>
      </c>
      <c r="F634" t="n">
        <v>480</v>
      </c>
      <c r="G634" t="n">
        <v>8</v>
      </c>
      <c r="H634" t="inlineStr">
        <is>
          <t>측정기 교정</t>
        </is>
      </c>
      <c r="I634" t="n">
        <v>5.5</v>
      </c>
      <c r="J634" t="n">
        <v>4865</v>
      </c>
      <c r="K634" t="n">
        <v>4849</v>
      </c>
      <c r="L634" t="inlineStr">
        <is>
          <t>L-0720</t>
        </is>
      </c>
      <c r="M634">
        <f>F634-G634</f>
        <v/>
      </c>
      <c r="N634" s="2">
        <f>M634/F634</f>
        <v/>
      </c>
      <c r="O634" s="2">
        <f>I634*J634/60/M634</f>
        <v/>
      </c>
      <c r="P634" s="2">
        <f>K634/J634</f>
        <v/>
      </c>
      <c r="Q634" s="2">
        <f>N634*O634*P634</f>
        <v/>
      </c>
    </row>
    <row r="635">
      <c r="A635" t="inlineStr">
        <is>
          <t>2026-07-27</t>
        </is>
      </c>
      <c r="B635" t="inlineStr">
        <is>
          <t>주간</t>
        </is>
      </c>
      <c r="C635" t="inlineStr">
        <is>
          <t>P5</t>
        </is>
      </c>
      <c r="D635" t="inlineStr">
        <is>
          <t>검사</t>
        </is>
      </c>
      <c r="E635" t="inlineStr">
        <is>
          <t>IN-02</t>
        </is>
      </c>
      <c r="F635" t="n">
        <v>480</v>
      </c>
      <c r="G635" t="n">
        <v>19</v>
      </c>
      <c r="H635" t="inlineStr">
        <is>
          <t>샘플 재검</t>
        </is>
      </c>
      <c r="I635" t="n">
        <v>5.5</v>
      </c>
      <c r="J635" t="n">
        <v>4552</v>
      </c>
      <c r="K635" t="n">
        <v>4539</v>
      </c>
      <c r="L635" t="inlineStr">
        <is>
          <t>L-0720</t>
        </is>
      </c>
      <c r="M635">
        <f>F635-G635</f>
        <v/>
      </c>
      <c r="N635" s="2">
        <f>M635/F635</f>
        <v/>
      </c>
      <c r="O635" s="2">
        <f>I635*J635/60/M635</f>
        <v/>
      </c>
      <c r="P635" s="2">
        <f>K635/J635</f>
        <v/>
      </c>
      <c r="Q635" s="2">
        <f>N635*O635*P635</f>
        <v/>
      </c>
    </row>
    <row r="636">
      <c r="A636" t="inlineStr">
        <is>
          <t>2026-07-27</t>
        </is>
      </c>
      <c r="B636" t="inlineStr">
        <is>
          <t>주간</t>
        </is>
      </c>
      <c r="C636" t="inlineStr">
        <is>
          <t>P6</t>
        </is>
      </c>
      <c r="D636" t="inlineStr">
        <is>
          <t>포장</t>
        </is>
      </c>
      <c r="E636" t="inlineStr">
        <is>
          <t>PK-01</t>
        </is>
      </c>
      <c r="F636" t="n">
        <v>480</v>
      </c>
      <c r="G636" t="n">
        <v>44</v>
      </c>
      <c r="H636" t="inlineStr">
        <is>
          <t>자재 대기</t>
        </is>
      </c>
      <c r="I636" t="n">
        <v>4.8</v>
      </c>
      <c r="J636" t="n">
        <v>4792</v>
      </c>
      <c r="K636" t="n">
        <v>4783</v>
      </c>
      <c r="L636" t="inlineStr">
        <is>
          <t>L-0720</t>
        </is>
      </c>
      <c r="M636">
        <f>F636-G636</f>
        <v/>
      </c>
      <c r="N636" s="2">
        <f>M636/F636</f>
        <v/>
      </c>
      <c r="O636" s="2">
        <f>I636*J636/60/M636</f>
        <v/>
      </c>
      <c r="P636" s="2">
        <f>K636/J636</f>
        <v/>
      </c>
      <c r="Q636" s="2">
        <f>N636*O636*P636</f>
        <v/>
      </c>
    </row>
    <row r="637">
      <c r="A637" t="inlineStr">
        <is>
          <t>2026-07-27</t>
        </is>
      </c>
      <c r="B637" t="inlineStr">
        <is>
          <t>주간</t>
        </is>
      </c>
      <c r="C637" t="inlineStr">
        <is>
          <t>P6</t>
        </is>
      </c>
      <c r="D637" t="inlineStr">
        <is>
          <t>포장</t>
        </is>
      </c>
      <c r="E637" t="inlineStr">
        <is>
          <t>PK-02</t>
        </is>
      </c>
      <c r="F637" t="n">
        <v>480</v>
      </c>
      <c r="G637" t="n">
        <v>12</v>
      </c>
      <c r="H637" t="inlineStr">
        <is>
          <t>라벨 교체</t>
        </is>
      </c>
      <c r="I637" t="n">
        <v>4.8</v>
      </c>
      <c r="J637" t="n">
        <v>5401</v>
      </c>
      <c r="K637" t="n">
        <v>5389</v>
      </c>
      <c r="L637" t="inlineStr">
        <is>
          <t>L-0720</t>
        </is>
      </c>
      <c r="M637">
        <f>F637-G637</f>
        <v/>
      </c>
      <c r="N637" s="2">
        <f>M637/F637</f>
        <v/>
      </c>
      <c r="O637" s="2">
        <f>I637*J637/60/M637</f>
        <v/>
      </c>
      <c r="P637" s="2">
        <f>K637/J637</f>
        <v/>
      </c>
      <c r="Q637" s="2">
        <f>N637*O637*P637</f>
        <v/>
      </c>
    </row>
    <row r="638">
      <c r="A638" t="inlineStr">
        <is>
          <t>2026-07-27</t>
        </is>
      </c>
      <c r="B638" t="inlineStr">
        <is>
          <t>야간</t>
        </is>
      </c>
      <c r="C638" t="inlineStr">
        <is>
          <t>P1</t>
        </is>
      </c>
      <c r="D638" t="inlineStr">
        <is>
          <t>원료혼합</t>
        </is>
      </c>
      <c r="E638" t="inlineStr">
        <is>
          <t>MX-01</t>
        </is>
      </c>
      <c r="F638" t="n">
        <v>480</v>
      </c>
      <c r="G638" t="n">
        <v>17</v>
      </c>
      <c r="H638" t="inlineStr">
        <is>
          <t>원료 대기</t>
        </is>
      </c>
      <c r="I638" t="n">
        <v>5</v>
      </c>
      <c r="J638" t="n">
        <v>5207</v>
      </c>
      <c r="K638" t="n">
        <v>5167</v>
      </c>
      <c r="L638" t="inlineStr">
        <is>
          <t>L-0720</t>
        </is>
      </c>
      <c r="M638">
        <f>F638-G638</f>
        <v/>
      </c>
      <c r="N638" s="2">
        <f>M638/F638</f>
        <v/>
      </c>
      <c r="O638" s="2">
        <f>I638*J638/60/M638</f>
        <v/>
      </c>
      <c r="P638" s="2">
        <f>K638/J638</f>
        <v/>
      </c>
      <c r="Q638" s="2">
        <f>N638*O638*P638</f>
        <v/>
      </c>
    </row>
    <row r="639">
      <c r="A639" t="inlineStr">
        <is>
          <t>2026-07-27</t>
        </is>
      </c>
      <c r="B639" t="inlineStr">
        <is>
          <t>야간</t>
        </is>
      </c>
      <c r="C639" t="inlineStr">
        <is>
          <t>P1</t>
        </is>
      </c>
      <c r="D639" t="inlineStr">
        <is>
          <t>원료혼합</t>
        </is>
      </c>
      <c r="E639" t="inlineStr">
        <is>
          <t>MX-02</t>
        </is>
      </c>
      <c r="F639" t="n">
        <v>480</v>
      </c>
      <c r="G639" t="n">
        <v>16</v>
      </c>
      <c r="H639" t="inlineStr">
        <is>
          <t>배합 확인</t>
        </is>
      </c>
      <c r="I639" t="n">
        <v>5</v>
      </c>
      <c r="J639" t="n">
        <v>5094</v>
      </c>
      <c r="K639" t="n">
        <v>5054</v>
      </c>
      <c r="L639" t="inlineStr">
        <is>
          <t>L-0720</t>
        </is>
      </c>
      <c r="M639">
        <f>F639-G639</f>
        <v/>
      </c>
      <c r="N639" s="2">
        <f>M639/F639</f>
        <v/>
      </c>
      <c r="O639" s="2">
        <f>I639*J639/60/M639</f>
        <v/>
      </c>
      <c r="P639" s="2">
        <f>K639/J639</f>
        <v/>
      </c>
      <c r="Q639" s="2">
        <f>N639*O639*P639</f>
        <v/>
      </c>
    </row>
    <row r="640">
      <c r="A640" t="inlineStr">
        <is>
          <t>2026-07-27</t>
        </is>
      </c>
      <c r="B640" t="inlineStr">
        <is>
          <t>야간</t>
        </is>
      </c>
      <c r="C640" t="inlineStr">
        <is>
          <t>P2</t>
        </is>
      </c>
      <c r="D640" t="inlineStr">
        <is>
          <t>성형</t>
        </is>
      </c>
      <c r="E640" t="inlineStr">
        <is>
          <t>PR-01</t>
        </is>
      </c>
      <c r="F640" t="n">
        <v>480</v>
      </c>
      <c r="G640" t="n">
        <v>31</v>
      </c>
      <c r="H640" t="inlineStr">
        <is>
          <t>분말 공급 지연</t>
        </is>
      </c>
      <c r="I640" t="n">
        <v>6</v>
      </c>
      <c r="J640" t="n">
        <v>4227</v>
      </c>
      <c r="K640" t="n">
        <v>4178</v>
      </c>
      <c r="L640" t="inlineStr">
        <is>
          <t>L-0720</t>
        </is>
      </c>
      <c r="M640">
        <f>F640-G640</f>
        <v/>
      </c>
      <c r="N640" s="2">
        <f>M640/F640</f>
        <v/>
      </c>
      <c r="O640" s="2">
        <f>I640*J640/60/M640</f>
        <v/>
      </c>
      <c r="P640" s="2">
        <f>K640/J640</f>
        <v/>
      </c>
      <c r="Q640" s="2">
        <f>N640*O640*P640</f>
        <v/>
      </c>
    </row>
    <row r="641">
      <c r="A641" t="inlineStr">
        <is>
          <t>2026-07-27</t>
        </is>
      </c>
      <c r="B641" t="inlineStr">
        <is>
          <t>야간</t>
        </is>
      </c>
      <c r="C641" t="inlineStr">
        <is>
          <t>P2</t>
        </is>
      </c>
      <c r="D641" t="inlineStr">
        <is>
          <t>성형</t>
        </is>
      </c>
      <c r="E641" t="inlineStr">
        <is>
          <t>PR-02</t>
        </is>
      </c>
      <c r="F641" t="n">
        <v>480</v>
      </c>
      <c r="G641" t="n">
        <v>82</v>
      </c>
      <c r="H641" t="inlineStr">
        <is>
          <t>금형 교체</t>
        </is>
      </c>
      <c r="I641" t="n">
        <v>6</v>
      </c>
      <c r="J641" t="n">
        <v>3621</v>
      </c>
      <c r="K641" t="n">
        <v>3582</v>
      </c>
      <c r="L641" t="inlineStr">
        <is>
          <t>L-0720</t>
        </is>
      </c>
      <c r="M641">
        <f>F641-G641</f>
        <v/>
      </c>
      <c r="N641" s="2">
        <f>M641/F641</f>
        <v/>
      </c>
      <c r="O641" s="2">
        <f>I641*J641/60/M641</f>
        <v/>
      </c>
      <c r="P641" s="2">
        <f>K641/J641</f>
        <v/>
      </c>
      <c r="Q641" s="2">
        <f>N641*O641*P641</f>
        <v/>
      </c>
    </row>
    <row r="642">
      <c r="A642" t="inlineStr">
        <is>
          <t>2026-07-27</t>
        </is>
      </c>
      <c r="B642" t="inlineStr">
        <is>
          <t>야간</t>
        </is>
      </c>
      <c r="C642" t="inlineStr">
        <is>
          <t>P3</t>
        </is>
      </c>
      <c r="D642" t="inlineStr">
        <is>
          <t>소결</t>
        </is>
      </c>
      <c r="E642" t="inlineStr">
        <is>
          <t>SF-01</t>
        </is>
      </c>
      <c r="F642" t="n">
        <v>480</v>
      </c>
      <c r="G642" t="n">
        <v>27</v>
      </c>
      <c r="H642" t="inlineStr">
        <is>
          <t>장입 대기</t>
        </is>
      </c>
      <c r="I642" t="n">
        <v>6.5</v>
      </c>
      <c r="J642" t="n">
        <v>3996</v>
      </c>
      <c r="K642" t="n">
        <v>3897</v>
      </c>
      <c r="L642" t="inlineStr">
        <is>
          <t>L-0720</t>
        </is>
      </c>
      <c r="M642">
        <f>F642-G642</f>
        <v/>
      </c>
      <c r="N642" s="2">
        <f>M642/F642</f>
        <v/>
      </c>
      <c r="O642" s="2">
        <f>I642*J642/60/M642</f>
        <v/>
      </c>
      <c r="P642" s="2">
        <f>K642/J642</f>
        <v/>
      </c>
      <c r="Q642" s="2">
        <f>N642*O642*P642</f>
        <v/>
      </c>
    </row>
    <row r="643">
      <c r="A643" t="inlineStr">
        <is>
          <t>2026-07-27</t>
        </is>
      </c>
      <c r="B643" t="inlineStr">
        <is>
          <t>야간</t>
        </is>
      </c>
      <c r="C643" t="inlineStr">
        <is>
          <t>P3</t>
        </is>
      </c>
      <c r="D643" t="inlineStr">
        <is>
          <t>소결</t>
        </is>
      </c>
      <c r="E643" t="inlineStr">
        <is>
          <t>SF-02</t>
        </is>
      </c>
      <c r="F643" t="n">
        <v>480</v>
      </c>
      <c r="G643" t="n">
        <v>35</v>
      </c>
      <c r="H643" t="inlineStr">
        <is>
          <t>온도 이상 정지</t>
        </is>
      </c>
      <c r="I643" t="n">
        <v>6.5</v>
      </c>
      <c r="J643" t="n">
        <v>3902</v>
      </c>
      <c r="K643" t="n">
        <v>3830</v>
      </c>
      <c r="L643" t="inlineStr">
        <is>
          <t>L-0720</t>
        </is>
      </c>
      <c r="M643">
        <f>F643-G643</f>
        <v/>
      </c>
      <c r="N643" s="2">
        <f>M643/F643</f>
        <v/>
      </c>
      <c r="O643" s="2">
        <f>I643*J643/60/M643</f>
        <v/>
      </c>
      <c r="P643" s="2">
        <f>K643/J643</f>
        <v/>
      </c>
      <c r="Q643" s="2">
        <f>N643*O643*P643</f>
        <v/>
      </c>
    </row>
    <row r="644">
      <c r="A644" t="inlineStr">
        <is>
          <t>2026-07-27</t>
        </is>
      </c>
      <c r="B644" t="inlineStr">
        <is>
          <t>야간</t>
        </is>
      </c>
      <c r="C644" t="inlineStr">
        <is>
          <t>P4</t>
        </is>
      </c>
      <c r="D644" t="inlineStr">
        <is>
          <t>연삭</t>
        </is>
      </c>
      <c r="E644" t="inlineStr">
        <is>
          <t>GR-01</t>
        </is>
      </c>
      <c r="F644" t="n">
        <v>480</v>
      </c>
      <c r="G644" t="n">
        <v>66</v>
      </c>
      <c r="H644" t="inlineStr">
        <is>
          <t>드레싱</t>
        </is>
      </c>
      <c r="I644" t="n">
        <v>6.2</v>
      </c>
      <c r="J644" t="n">
        <v>3565</v>
      </c>
      <c r="K644" t="n">
        <v>3518</v>
      </c>
      <c r="L644" t="inlineStr">
        <is>
          <t>L-0720</t>
        </is>
      </c>
      <c r="M644">
        <f>F644-G644</f>
        <v/>
      </c>
      <c r="N644" s="2">
        <f>M644/F644</f>
        <v/>
      </c>
      <c r="O644" s="2">
        <f>I644*J644/60/M644</f>
        <v/>
      </c>
      <c r="P644" s="2">
        <f>K644/J644</f>
        <v/>
      </c>
      <c r="Q644" s="2">
        <f>N644*O644*P644</f>
        <v/>
      </c>
    </row>
    <row r="645">
      <c r="A645" t="inlineStr">
        <is>
          <t>2026-07-27</t>
        </is>
      </c>
      <c r="B645" t="inlineStr">
        <is>
          <t>야간</t>
        </is>
      </c>
      <c r="C645" t="inlineStr">
        <is>
          <t>P4</t>
        </is>
      </c>
      <c r="D645" t="inlineStr">
        <is>
          <t>연삭</t>
        </is>
      </c>
      <c r="E645" t="inlineStr">
        <is>
          <t>GR-02</t>
        </is>
      </c>
      <c r="F645" t="n">
        <v>480</v>
      </c>
      <c r="G645" t="n">
        <v>44</v>
      </c>
      <c r="H645" t="inlineStr">
        <is>
          <t>드레싱</t>
        </is>
      </c>
      <c r="I645" t="n">
        <v>6.2</v>
      </c>
      <c r="J645" t="n">
        <v>4009</v>
      </c>
      <c r="K645" t="n">
        <v>3965</v>
      </c>
      <c r="L645" t="inlineStr">
        <is>
          <t>L-0720</t>
        </is>
      </c>
      <c r="M645">
        <f>F645-G645</f>
        <v/>
      </c>
      <c r="N645" s="2">
        <f>M645/F645</f>
        <v/>
      </c>
      <c r="O645" s="2">
        <f>I645*J645/60/M645</f>
        <v/>
      </c>
      <c r="P645" s="2">
        <f>K645/J645</f>
        <v/>
      </c>
      <c r="Q645" s="2">
        <f>N645*O645*P645</f>
        <v/>
      </c>
    </row>
    <row r="646">
      <c r="A646" t="inlineStr">
        <is>
          <t>2026-07-27</t>
        </is>
      </c>
      <c r="B646" t="inlineStr">
        <is>
          <t>야간</t>
        </is>
      </c>
      <c r="C646" t="inlineStr">
        <is>
          <t>P5</t>
        </is>
      </c>
      <c r="D646" t="inlineStr">
        <is>
          <t>검사</t>
        </is>
      </c>
      <c r="E646" t="inlineStr">
        <is>
          <t>IN-01</t>
        </is>
      </c>
      <c r="F646" t="n">
        <v>480</v>
      </c>
      <c r="G646" t="n">
        <v>64</v>
      </c>
      <c r="H646" t="inlineStr">
        <is>
          <t>측정기 교정</t>
        </is>
      </c>
      <c r="I646" t="n">
        <v>5.5</v>
      </c>
      <c r="J646" t="n">
        <v>4255</v>
      </c>
      <c r="K646" t="n">
        <v>4238</v>
      </c>
      <c r="L646" t="inlineStr">
        <is>
          <t>L-0720</t>
        </is>
      </c>
      <c r="M646">
        <f>F646-G646</f>
        <v/>
      </c>
      <c r="N646" s="2">
        <f>M646/F646</f>
        <v/>
      </c>
      <c r="O646" s="2">
        <f>I646*J646/60/M646</f>
        <v/>
      </c>
      <c r="P646" s="2">
        <f>K646/J646</f>
        <v/>
      </c>
      <c r="Q646" s="2">
        <f>N646*O646*P646</f>
        <v/>
      </c>
    </row>
    <row r="647">
      <c r="A647" t="inlineStr">
        <is>
          <t>2026-07-27</t>
        </is>
      </c>
      <c r="B647" t="inlineStr">
        <is>
          <t>야간</t>
        </is>
      </c>
      <c r="C647" t="inlineStr">
        <is>
          <t>P5</t>
        </is>
      </c>
      <c r="D647" t="inlineStr">
        <is>
          <t>검사</t>
        </is>
      </c>
      <c r="E647" t="inlineStr">
        <is>
          <t>IN-02</t>
        </is>
      </c>
      <c r="F647" t="n">
        <v>480</v>
      </c>
      <c r="G647" t="n">
        <v>23</v>
      </c>
      <c r="H647" t="inlineStr">
        <is>
          <t>측정기 교정</t>
        </is>
      </c>
      <c r="I647" t="n">
        <v>5.5</v>
      </c>
      <c r="J647" t="n">
        <v>4847</v>
      </c>
      <c r="K647" t="n">
        <v>4826</v>
      </c>
      <c r="L647" t="inlineStr">
        <is>
          <t>L-0720</t>
        </is>
      </c>
      <c r="M647">
        <f>F647-G647</f>
        <v/>
      </c>
      <c r="N647" s="2">
        <f>M647/F647</f>
        <v/>
      </c>
      <c r="O647" s="2">
        <f>I647*J647/60/M647</f>
        <v/>
      </c>
      <c r="P647" s="2">
        <f>K647/J647</f>
        <v/>
      </c>
      <c r="Q647" s="2">
        <f>N647*O647*P647</f>
        <v/>
      </c>
    </row>
    <row r="648">
      <c r="A648" t="inlineStr">
        <is>
          <t>2026-07-27</t>
        </is>
      </c>
      <c r="B648" t="inlineStr">
        <is>
          <t>야간</t>
        </is>
      </c>
      <c r="C648" t="inlineStr">
        <is>
          <t>P6</t>
        </is>
      </c>
      <c r="D648" t="inlineStr">
        <is>
          <t>포장</t>
        </is>
      </c>
      <c r="E648" t="inlineStr">
        <is>
          <t>PK-01</t>
        </is>
      </c>
      <c r="F648" t="n">
        <v>480</v>
      </c>
      <c r="G648" t="n">
        <v>50</v>
      </c>
      <c r="H648" t="inlineStr">
        <is>
          <t>자재 대기</t>
        </is>
      </c>
      <c r="I648" t="n">
        <v>4.8</v>
      </c>
      <c r="J648" t="n">
        <v>5202</v>
      </c>
      <c r="K648" t="n">
        <v>5186</v>
      </c>
      <c r="L648" t="inlineStr">
        <is>
          <t>L-0720</t>
        </is>
      </c>
      <c r="M648">
        <f>F648-G648</f>
        <v/>
      </c>
      <c r="N648" s="2">
        <f>M648/F648</f>
        <v/>
      </c>
      <c r="O648" s="2">
        <f>I648*J648/60/M648</f>
        <v/>
      </c>
      <c r="P648" s="2">
        <f>K648/J648</f>
        <v/>
      </c>
      <c r="Q648" s="2">
        <f>N648*O648*P648</f>
        <v/>
      </c>
    </row>
    <row r="649">
      <c r="A649" t="inlineStr">
        <is>
          <t>2026-07-27</t>
        </is>
      </c>
      <c r="B649" t="inlineStr">
        <is>
          <t>야간</t>
        </is>
      </c>
      <c r="C649" t="inlineStr">
        <is>
          <t>P6</t>
        </is>
      </c>
      <c r="D649" t="inlineStr">
        <is>
          <t>포장</t>
        </is>
      </c>
      <c r="E649" t="inlineStr">
        <is>
          <t>PK-02</t>
        </is>
      </c>
      <c r="F649" t="n">
        <v>480</v>
      </c>
      <c r="G649" t="n">
        <v>64</v>
      </c>
      <c r="H649" t="inlineStr">
        <is>
          <t>자재 대기</t>
        </is>
      </c>
      <c r="I649" t="n">
        <v>4.8</v>
      </c>
      <c r="J649" t="n">
        <v>4772</v>
      </c>
      <c r="K649" t="n">
        <v>4759</v>
      </c>
      <c r="L649" t="inlineStr">
        <is>
          <t>L-0720</t>
        </is>
      </c>
      <c r="M649">
        <f>F649-G649</f>
        <v/>
      </c>
      <c r="N649" s="2">
        <f>M649/F649</f>
        <v/>
      </c>
      <c r="O649" s="2">
        <f>I649*J649/60/M649</f>
        <v/>
      </c>
      <c r="P649" s="2">
        <f>K649/J649</f>
        <v/>
      </c>
      <c r="Q649" s="2">
        <f>N649*O649*P649</f>
        <v/>
      </c>
    </row>
    <row r="650">
      <c r="A650" t="inlineStr">
        <is>
          <t>2026-07-28</t>
        </is>
      </c>
      <c r="B650" t="inlineStr">
        <is>
          <t>주간</t>
        </is>
      </c>
      <c r="C650" t="inlineStr">
        <is>
          <t>P1</t>
        </is>
      </c>
      <c r="D650" t="inlineStr">
        <is>
          <t>원료혼합</t>
        </is>
      </c>
      <c r="E650" t="inlineStr">
        <is>
          <t>MX-01</t>
        </is>
      </c>
      <c r="F650" t="n">
        <v>480</v>
      </c>
      <c r="G650" t="n">
        <v>44</v>
      </c>
      <c r="H650" t="inlineStr">
        <is>
          <t>청소</t>
        </is>
      </c>
      <c r="I650" t="n">
        <v>5</v>
      </c>
      <c r="J650" t="n">
        <v>4929</v>
      </c>
      <c r="K650" t="n">
        <v>4904</v>
      </c>
      <c r="L650" t="inlineStr">
        <is>
          <t>L-0720</t>
        </is>
      </c>
      <c r="M650">
        <f>F650-G650</f>
        <v/>
      </c>
      <c r="N650" s="2">
        <f>M650/F650</f>
        <v/>
      </c>
      <c r="O650" s="2">
        <f>I650*J650/60/M650</f>
        <v/>
      </c>
      <c r="P650" s="2">
        <f>K650/J650</f>
        <v/>
      </c>
      <c r="Q650" s="2">
        <f>N650*O650*P650</f>
        <v/>
      </c>
    </row>
    <row r="651">
      <c r="A651" t="inlineStr">
        <is>
          <t>2026-07-28</t>
        </is>
      </c>
      <c r="B651" t="inlineStr">
        <is>
          <t>주간</t>
        </is>
      </c>
      <c r="C651" t="inlineStr">
        <is>
          <t>P1</t>
        </is>
      </c>
      <c r="D651" t="inlineStr">
        <is>
          <t>원료혼합</t>
        </is>
      </c>
      <c r="E651" t="inlineStr">
        <is>
          <t>MX-02</t>
        </is>
      </c>
      <c r="F651" t="n">
        <v>480</v>
      </c>
      <c r="G651" t="n">
        <v>20</v>
      </c>
      <c r="H651" t="inlineStr">
        <is>
          <t>배합 확인</t>
        </is>
      </c>
      <c r="I651" t="n">
        <v>5</v>
      </c>
      <c r="J651" t="n">
        <v>5183</v>
      </c>
      <c r="K651" t="n">
        <v>5153</v>
      </c>
      <c r="L651" t="inlineStr">
        <is>
          <t>L-0720</t>
        </is>
      </c>
      <c r="M651">
        <f>F651-G651</f>
        <v/>
      </c>
      <c r="N651" s="2">
        <f>M651/F651</f>
        <v/>
      </c>
      <c r="O651" s="2">
        <f>I651*J651/60/M651</f>
        <v/>
      </c>
      <c r="P651" s="2">
        <f>K651/J651</f>
        <v/>
      </c>
      <c r="Q651" s="2">
        <f>N651*O651*P651</f>
        <v/>
      </c>
    </row>
    <row r="652">
      <c r="A652" t="inlineStr">
        <is>
          <t>2026-07-28</t>
        </is>
      </c>
      <c r="B652" t="inlineStr">
        <is>
          <t>주간</t>
        </is>
      </c>
      <c r="C652" t="inlineStr">
        <is>
          <t>P2</t>
        </is>
      </c>
      <c r="D652" t="inlineStr">
        <is>
          <t>성형</t>
        </is>
      </c>
      <c r="E652" t="inlineStr">
        <is>
          <t>PR-01</t>
        </is>
      </c>
      <c r="F652" t="n">
        <v>480</v>
      </c>
      <c r="G652" t="n">
        <v>8</v>
      </c>
      <c r="H652" t="inlineStr">
        <is>
          <t>금형 교체</t>
        </is>
      </c>
      <c r="I652" t="n">
        <v>6</v>
      </c>
      <c r="J652" t="n">
        <v>4219</v>
      </c>
      <c r="K652" t="n">
        <v>4149</v>
      </c>
      <c r="L652" t="inlineStr">
        <is>
          <t>L-0720</t>
        </is>
      </c>
      <c r="M652">
        <f>F652-G652</f>
        <v/>
      </c>
      <c r="N652" s="2">
        <f>M652/F652</f>
        <v/>
      </c>
      <c r="O652" s="2">
        <f>I652*J652/60/M652</f>
        <v/>
      </c>
      <c r="P652" s="2">
        <f>K652/J652</f>
        <v/>
      </c>
      <c r="Q652" s="2">
        <f>N652*O652*P652</f>
        <v/>
      </c>
    </row>
    <row r="653">
      <c r="A653" t="inlineStr">
        <is>
          <t>2026-07-28</t>
        </is>
      </c>
      <c r="B653" t="inlineStr">
        <is>
          <t>주간</t>
        </is>
      </c>
      <c r="C653" t="inlineStr">
        <is>
          <t>P2</t>
        </is>
      </c>
      <c r="D653" t="inlineStr">
        <is>
          <t>성형</t>
        </is>
      </c>
      <c r="E653" t="inlineStr">
        <is>
          <t>PR-02</t>
        </is>
      </c>
      <c r="F653" t="n">
        <v>480</v>
      </c>
      <c r="G653" t="n">
        <v>8</v>
      </c>
      <c r="H653" t="inlineStr">
        <is>
          <t>분말 공급 지연</t>
        </is>
      </c>
      <c r="I653" t="n">
        <v>6</v>
      </c>
      <c r="J653" t="n">
        <v>4484</v>
      </c>
      <c r="K653" t="n">
        <v>4426</v>
      </c>
      <c r="L653" t="inlineStr">
        <is>
          <t>L-0720</t>
        </is>
      </c>
      <c r="M653">
        <f>F653-G653</f>
        <v/>
      </c>
      <c r="N653" s="2">
        <f>M653/F653</f>
        <v/>
      </c>
      <c r="O653" s="2">
        <f>I653*J653/60/M653</f>
        <v/>
      </c>
      <c r="P653" s="2">
        <f>K653/J653</f>
        <v/>
      </c>
      <c r="Q653" s="2">
        <f>N653*O653*P653</f>
        <v/>
      </c>
    </row>
    <row r="654">
      <c r="A654" t="inlineStr">
        <is>
          <t>2026-07-28</t>
        </is>
      </c>
      <c r="B654" t="inlineStr">
        <is>
          <t>주간</t>
        </is>
      </c>
      <c r="C654" t="inlineStr">
        <is>
          <t>P3</t>
        </is>
      </c>
      <c r="D654" t="inlineStr">
        <is>
          <t>소결</t>
        </is>
      </c>
      <c r="E654" t="inlineStr">
        <is>
          <t>SF-01</t>
        </is>
      </c>
      <c r="F654" t="n">
        <v>480</v>
      </c>
      <c r="G654" t="n">
        <v>67</v>
      </c>
      <c r="H654" t="inlineStr">
        <is>
          <t>장입 대기</t>
        </is>
      </c>
      <c r="I654" t="n">
        <v>6.5</v>
      </c>
      <c r="J654" t="n">
        <v>3592</v>
      </c>
      <c r="K654" t="n">
        <v>3525</v>
      </c>
      <c r="L654" t="inlineStr">
        <is>
          <t>L-0720</t>
        </is>
      </c>
      <c r="M654">
        <f>F654-G654</f>
        <v/>
      </c>
      <c r="N654" s="2">
        <f>M654/F654</f>
        <v/>
      </c>
      <c r="O654" s="2">
        <f>I654*J654/60/M654</f>
        <v/>
      </c>
      <c r="P654" s="2">
        <f>K654/J654</f>
        <v/>
      </c>
      <c r="Q654" s="2">
        <f>N654*O654*P654</f>
        <v/>
      </c>
    </row>
    <row r="655">
      <c r="A655" t="inlineStr">
        <is>
          <t>2026-07-28</t>
        </is>
      </c>
      <c r="B655" t="inlineStr">
        <is>
          <t>주간</t>
        </is>
      </c>
      <c r="C655" t="inlineStr">
        <is>
          <t>P3</t>
        </is>
      </c>
      <c r="D655" t="inlineStr">
        <is>
          <t>소결</t>
        </is>
      </c>
      <c r="E655" t="inlineStr">
        <is>
          <t>SF-02</t>
        </is>
      </c>
      <c r="F655" t="n">
        <v>480</v>
      </c>
      <c r="G655" t="n">
        <v>27</v>
      </c>
      <c r="H655" t="inlineStr">
        <is>
          <t>재가열</t>
        </is>
      </c>
      <c r="I655" t="n">
        <v>6.5</v>
      </c>
      <c r="J655" t="n">
        <v>3806</v>
      </c>
      <c r="K655" t="n">
        <v>3723</v>
      </c>
      <c r="L655" t="inlineStr">
        <is>
          <t>L-0720</t>
        </is>
      </c>
      <c r="M655">
        <f>F655-G655</f>
        <v/>
      </c>
      <c r="N655" s="2">
        <f>M655/F655</f>
        <v/>
      </c>
      <c r="O655" s="2">
        <f>I655*J655/60/M655</f>
        <v/>
      </c>
      <c r="P655" s="2">
        <f>K655/J655</f>
        <v/>
      </c>
      <c r="Q655" s="2">
        <f>N655*O655*P655</f>
        <v/>
      </c>
    </row>
    <row r="656">
      <c r="A656" t="inlineStr">
        <is>
          <t>2026-07-28</t>
        </is>
      </c>
      <c r="B656" t="inlineStr">
        <is>
          <t>주간</t>
        </is>
      </c>
      <c r="C656" t="inlineStr">
        <is>
          <t>P4</t>
        </is>
      </c>
      <c r="D656" t="inlineStr">
        <is>
          <t>연삭</t>
        </is>
      </c>
      <c r="E656" t="inlineStr">
        <is>
          <t>GR-01</t>
        </is>
      </c>
      <c r="F656" t="n">
        <v>480</v>
      </c>
      <c r="G656" t="n">
        <v>62</v>
      </c>
      <c r="H656" t="inlineStr">
        <is>
          <t>공구 교체</t>
        </is>
      </c>
      <c r="I656" t="n">
        <v>6.2</v>
      </c>
      <c r="J656" t="n">
        <v>3626</v>
      </c>
      <c r="K656" t="n">
        <v>3590</v>
      </c>
      <c r="L656" t="inlineStr">
        <is>
          <t>L-0720</t>
        </is>
      </c>
      <c r="M656">
        <f>F656-G656</f>
        <v/>
      </c>
      <c r="N656" s="2">
        <f>M656/F656</f>
        <v/>
      </c>
      <c r="O656" s="2">
        <f>I656*J656/60/M656</f>
        <v/>
      </c>
      <c r="P656" s="2">
        <f>K656/J656</f>
        <v/>
      </c>
      <c r="Q656" s="2">
        <f>N656*O656*P656</f>
        <v/>
      </c>
    </row>
    <row r="657">
      <c r="A657" t="inlineStr">
        <is>
          <t>2026-07-28</t>
        </is>
      </c>
      <c r="B657" t="inlineStr">
        <is>
          <t>주간</t>
        </is>
      </c>
      <c r="C657" t="inlineStr">
        <is>
          <t>P4</t>
        </is>
      </c>
      <c r="D657" t="inlineStr">
        <is>
          <t>연삭</t>
        </is>
      </c>
      <c r="E657" t="inlineStr">
        <is>
          <t>GR-02</t>
        </is>
      </c>
      <c r="F657" t="n">
        <v>480</v>
      </c>
      <c r="G657" t="n">
        <v>53</v>
      </c>
      <c r="H657" t="inlineStr">
        <is>
          <t>공구 교체</t>
        </is>
      </c>
      <c r="I657" t="n">
        <v>6.2</v>
      </c>
      <c r="J657" t="n">
        <v>3743</v>
      </c>
      <c r="K657" t="n">
        <v>3706</v>
      </c>
      <c r="L657" t="inlineStr">
        <is>
          <t>L-0720</t>
        </is>
      </c>
      <c r="M657">
        <f>F657-G657</f>
        <v/>
      </c>
      <c r="N657" s="2">
        <f>M657/F657</f>
        <v/>
      </c>
      <c r="O657" s="2">
        <f>I657*J657/60/M657</f>
        <v/>
      </c>
      <c r="P657" s="2">
        <f>K657/J657</f>
        <v/>
      </c>
      <c r="Q657" s="2">
        <f>N657*O657*P657</f>
        <v/>
      </c>
    </row>
    <row r="658">
      <c r="A658" t="inlineStr">
        <is>
          <t>2026-07-28</t>
        </is>
      </c>
      <c r="B658" t="inlineStr">
        <is>
          <t>주간</t>
        </is>
      </c>
      <c r="C658" t="inlineStr">
        <is>
          <t>P5</t>
        </is>
      </c>
      <c r="D658" t="inlineStr">
        <is>
          <t>검사</t>
        </is>
      </c>
      <c r="E658" t="inlineStr">
        <is>
          <t>IN-01</t>
        </is>
      </c>
      <c r="F658" t="n">
        <v>480</v>
      </c>
      <c r="G658" t="n">
        <v>13</v>
      </c>
      <c r="H658" t="inlineStr">
        <is>
          <t>샘플 재검</t>
        </is>
      </c>
      <c r="I658" t="n">
        <v>5.5</v>
      </c>
      <c r="J658" t="n">
        <v>4776</v>
      </c>
      <c r="K658" t="n">
        <v>4765</v>
      </c>
      <c r="L658" t="inlineStr">
        <is>
          <t>L-0720</t>
        </is>
      </c>
      <c r="M658">
        <f>F658-G658</f>
        <v/>
      </c>
      <c r="N658" s="2">
        <f>M658/F658</f>
        <v/>
      </c>
      <c r="O658" s="2">
        <f>I658*J658/60/M658</f>
        <v/>
      </c>
      <c r="P658" s="2">
        <f>K658/J658</f>
        <v/>
      </c>
      <c r="Q658" s="2">
        <f>N658*O658*P658</f>
        <v/>
      </c>
    </row>
    <row r="659">
      <c r="A659" t="inlineStr">
        <is>
          <t>2026-07-28</t>
        </is>
      </c>
      <c r="B659" t="inlineStr">
        <is>
          <t>주간</t>
        </is>
      </c>
      <c r="C659" t="inlineStr">
        <is>
          <t>P5</t>
        </is>
      </c>
      <c r="D659" t="inlineStr">
        <is>
          <t>검사</t>
        </is>
      </c>
      <c r="E659" t="inlineStr">
        <is>
          <t>IN-02</t>
        </is>
      </c>
      <c r="F659" t="n">
        <v>480</v>
      </c>
      <c r="G659" t="n">
        <v>25</v>
      </c>
      <c r="H659" t="inlineStr">
        <is>
          <t>측정기 교정</t>
        </is>
      </c>
      <c r="I659" t="n">
        <v>5.5</v>
      </c>
      <c r="J659" t="n">
        <v>4803</v>
      </c>
      <c r="K659" t="n">
        <v>4791</v>
      </c>
      <c r="L659" t="inlineStr">
        <is>
          <t>L-0720</t>
        </is>
      </c>
      <c r="M659">
        <f>F659-G659</f>
        <v/>
      </c>
      <c r="N659" s="2">
        <f>M659/F659</f>
        <v/>
      </c>
      <c r="O659" s="2">
        <f>I659*J659/60/M659</f>
        <v/>
      </c>
      <c r="P659" s="2">
        <f>K659/J659</f>
        <v/>
      </c>
      <c r="Q659" s="2">
        <f>N659*O659*P659</f>
        <v/>
      </c>
    </row>
    <row r="660">
      <c r="A660" t="inlineStr">
        <is>
          <t>2026-07-28</t>
        </is>
      </c>
      <c r="B660" t="inlineStr">
        <is>
          <t>주간</t>
        </is>
      </c>
      <c r="C660" t="inlineStr">
        <is>
          <t>P6</t>
        </is>
      </c>
      <c r="D660" t="inlineStr">
        <is>
          <t>포장</t>
        </is>
      </c>
      <c r="E660" t="inlineStr">
        <is>
          <t>PK-01</t>
        </is>
      </c>
      <c r="F660" t="n">
        <v>480</v>
      </c>
      <c r="G660" t="n">
        <v>34</v>
      </c>
      <c r="H660" t="inlineStr">
        <is>
          <t>라벨 교체</t>
        </is>
      </c>
      <c r="I660" t="n">
        <v>4.8</v>
      </c>
      <c r="J660" t="n">
        <v>5272</v>
      </c>
      <c r="K660" t="n">
        <v>5260</v>
      </c>
      <c r="L660" t="inlineStr">
        <is>
          <t>L-0720</t>
        </is>
      </c>
      <c r="M660">
        <f>F660-G660</f>
        <v/>
      </c>
      <c r="N660" s="2">
        <f>M660/F660</f>
        <v/>
      </c>
      <c r="O660" s="2">
        <f>I660*J660/60/M660</f>
        <v/>
      </c>
      <c r="P660" s="2">
        <f>K660/J660</f>
        <v/>
      </c>
      <c r="Q660" s="2">
        <f>N660*O660*P660</f>
        <v/>
      </c>
    </row>
    <row r="661">
      <c r="A661" t="inlineStr">
        <is>
          <t>2026-07-28</t>
        </is>
      </c>
      <c r="B661" t="inlineStr">
        <is>
          <t>주간</t>
        </is>
      </c>
      <c r="C661" t="inlineStr">
        <is>
          <t>P6</t>
        </is>
      </c>
      <c r="D661" t="inlineStr">
        <is>
          <t>포장</t>
        </is>
      </c>
      <c r="E661" t="inlineStr">
        <is>
          <t>PK-02</t>
        </is>
      </c>
      <c r="F661" t="n">
        <v>480</v>
      </c>
      <c r="G661" t="n">
        <v>20</v>
      </c>
      <c r="H661" t="inlineStr">
        <is>
          <t>자재 대기</t>
        </is>
      </c>
      <c r="I661" t="n">
        <v>4.8</v>
      </c>
      <c r="J661" t="n">
        <v>5499</v>
      </c>
      <c r="K661" t="n">
        <v>5488</v>
      </c>
      <c r="L661" t="inlineStr">
        <is>
          <t>L-0720</t>
        </is>
      </c>
      <c r="M661">
        <f>F661-G661</f>
        <v/>
      </c>
      <c r="N661" s="2">
        <f>M661/F661</f>
        <v/>
      </c>
      <c r="O661" s="2">
        <f>I661*J661/60/M661</f>
        <v/>
      </c>
      <c r="P661" s="2">
        <f>K661/J661</f>
        <v/>
      </c>
      <c r="Q661" s="2">
        <f>N661*O661*P661</f>
        <v/>
      </c>
    </row>
    <row r="662">
      <c r="A662" t="inlineStr">
        <is>
          <t>2026-07-28</t>
        </is>
      </c>
      <c r="B662" t="inlineStr">
        <is>
          <t>야간</t>
        </is>
      </c>
      <c r="C662" t="inlineStr">
        <is>
          <t>P1</t>
        </is>
      </c>
      <c r="D662" t="inlineStr">
        <is>
          <t>원료혼합</t>
        </is>
      </c>
      <c r="E662" t="inlineStr">
        <is>
          <t>MX-01</t>
        </is>
      </c>
      <c r="F662" t="n">
        <v>480</v>
      </c>
      <c r="G662" t="n">
        <v>17</v>
      </c>
      <c r="H662" t="inlineStr">
        <is>
          <t>배합 확인</t>
        </is>
      </c>
      <c r="I662" t="n">
        <v>5</v>
      </c>
      <c r="J662" t="n">
        <v>5300</v>
      </c>
      <c r="K662" t="n">
        <v>5259</v>
      </c>
      <c r="L662" t="inlineStr">
        <is>
          <t>L-0720</t>
        </is>
      </c>
      <c r="M662">
        <f>F662-G662</f>
        <v/>
      </c>
      <c r="N662" s="2">
        <f>M662/F662</f>
        <v/>
      </c>
      <c r="O662" s="2">
        <f>I662*J662/60/M662</f>
        <v/>
      </c>
      <c r="P662" s="2">
        <f>K662/J662</f>
        <v/>
      </c>
      <c r="Q662" s="2">
        <f>N662*O662*P662</f>
        <v/>
      </c>
    </row>
    <row r="663">
      <c r="A663" t="inlineStr">
        <is>
          <t>2026-07-28</t>
        </is>
      </c>
      <c r="B663" t="inlineStr">
        <is>
          <t>야간</t>
        </is>
      </c>
      <c r="C663" t="inlineStr">
        <is>
          <t>P1</t>
        </is>
      </c>
      <c r="D663" t="inlineStr">
        <is>
          <t>원료혼합</t>
        </is>
      </c>
      <c r="E663" t="inlineStr">
        <is>
          <t>MX-02</t>
        </is>
      </c>
      <c r="F663" t="n">
        <v>480</v>
      </c>
      <c r="G663" t="n">
        <v>9</v>
      </c>
      <c r="H663" t="inlineStr">
        <is>
          <t>원료 대기</t>
        </is>
      </c>
      <c r="I663" t="n">
        <v>5</v>
      </c>
      <c r="J663" t="n">
        <v>5367</v>
      </c>
      <c r="K663" t="n">
        <v>5331</v>
      </c>
      <c r="L663" t="inlineStr">
        <is>
          <t>L-0720</t>
        </is>
      </c>
      <c r="M663">
        <f>F663-G663</f>
        <v/>
      </c>
      <c r="N663" s="2">
        <f>M663/F663</f>
        <v/>
      </c>
      <c r="O663" s="2">
        <f>I663*J663/60/M663</f>
        <v/>
      </c>
      <c r="P663" s="2">
        <f>K663/J663</f>
        <v/>
      </c>
      <c r="Q663" s="2">
        <f>N663*O663*P663</f>
        <v/>
      </c>
    </row>
    <row r="664">
      <c r="A664" t="inlineStr">
        <is>
          <t>2026-07-28</t>
        </is>
      </c>
      <c r="B664" t="inlineStr">
        <is>
          <t>야간</t>
        </is>
      </c>
      <c r="C664" t="inlineStr">
        <is>
          <t>P2</t>
        </is>
      </c>
      <c r="D664" t="inlineStr">
        <is>
          <t>성형</t>
        </is>
      </c>
      <c r="E664" t="inlineStr">
        <is>
          <t>PR-01</t>
        </is>
      </c>
      <c r="F664" t="n">
        <v>480</v>
      </c>
      <c r="G664" t="n">
        <v>47</v>
      </c>
      <c r="H664" t="inlineStr">
        <is>
          <t>금형 교체</t>
        </is>
      </c>
      <c r="I664" t="n">
        <v>6</v>
      </c>
      <c r="J664" t="n">
        <v>3999</v>
      </c>
      <c r="K664" t="n">
        <v>3942</v>
      </c>
      <c r="L664" t="inlineStr">
        <is>
          <t>L-0720</t>
        </is>
      </c>
      <c r="M664">
        <f>F664-G664</f>
        <v/>
      </c>
      <c r="N664" s="2">
        <f>M664/F664</f>
        <v/>
      </c>
      <c r="O664" s="2">
        <f>I664*J664/60/M664</f>
        <v/>
      </c>
      <c r="P664" s="2">
        <f>K664/J664</f>
        <v/>
      </c>
      <c r="Q664" s="2">
        <f>N664*O664*P664</f>
        <v/>
      </c>
    </row>
    <row r="665">
      <c r="A665" t="inlineStr">
        <is>
          <t>2026-07-28</t>
        </is>
      </c>
      <c r="B665" t="inlineStr">
        <is>
          <t>야간</t>
        </is>
      </c>
      <c r="C665" t="inlineStr">
        <is>
          <t>P2</t>
        </is>
      </c>
      <c r="D665" t="inlineStr">
        <is>
          <t>성형</t>
        </is>
      </c>
      <c r="E665" t="inlineStr">
        <is>
          <t>PR-02</t>
        </is>
      </c>
      <c r="F665" t="n">
        <v>480</v>
      </c>
      <c r="G665" t="n">
        <v>59</v>
      </c>
      <c r="H665" t="inlineStr">
        <is>
          <t>압력 이상</t>
        </is>
      </c>
      <c r="I665" t="n">
        <v>6</v>
      </c>
      <c r="J665" t="n">
        <v>3730</v>
      </c>
      <c r="K665" t="n">
        <v>3675</v>
      </c>
      <c r="L665" t="inlineStr">
        <is>
          <t>L-0720</t>
        </is>
      </c>
      <c r="M665">
        <f>F665-G665</f>
        <v/>
      </c>
      <c r="N665" s="2">
        <f>M665/F665</f>
        <v/>
      </c>
      <c r="O665" s="2">
        <f>I665*J665/60/M665</f>
        <v/>
      </c>
      <c r="P665" s="2">
        <f>K665/J665</f>
        <v/>
      </c>
      <c r="Q665" s="2">
        <f>N665*O665*P665</f>
        <v/>
      </c>
    </row>
    <row r="666">
      <c r="A666" t="inlineStr">
        <is>
          <t>2026-07-28</t>
        </is>
      </c>
      <c r="B666" t="inlineStr">
        <is>
          <t>야간</t>
        </is>
      </c>
      <c r="C666" t="inlineStr">
        <is>
          <t>P3</t>
        </is>
      </c>
      <c r="D666" t="inlineStr">
        <is>
          <t>소결</t>
        </is>
      </c>
      <c r="E666" t="inlineStr">
        <is>
          <t>SF-01</t>
        </is>
      </c>
      <c r="F666" t="n">
        <v>480</v>
      </c>
      <c r="G666" t="n">
        <v>59</v>
      </c>
      <c r="H666" t="inlineStr">
        <is>
          <t>장입 대기</t>
        </is>
      </c>
      <c r="I666" t="n">
        <v>6.5</v>
      </c>
      <c r="J666" t="n">
        <v>3593</v>
      </c>
      <c r="K666" t="n">
        <v>3474</v>
      </c>
      <c r="L666" t="inlineStr">
        <is>
          <t>L-0720</t>
        </is>
      </c>
      <c r="M666">
        <f>F666-G666</f>
        <v/>
      </c>
      <c r="N666" s="2">
        <f>M666/F666</f>
        <v/>
      </c>
      <c r="O666" s="2">
        <f>I666*J666/60/M666</f>
        <v/>
      </c>
      <c r="P666" s="2">
        <f>K666/J666</f>
        <v/>
      </c>
      <c r="Q666" s="2">
        <f>N666*O666*P666</f>
        <v/>
      </c>
    </row>
    <row r="667">
      <c r="A667" t="inlineStr">
        <is>
          <t>2026-07-28</t>
        </is>
      </c>
      <c r="B667" t="inlineStr">
        <is>
          <t>야간</t>
        </is>
      </c>
      <c r="C667" t="inlineStr">
        <is>
          <t>P3</t>
        </is>
      </c>
      <c r="D667" t="inlineStr">
        <is>
          <t>소결</t>
        </is>
      </c>
      <c r="E667" t="inlineStr">
        <is>
          <t>SF-02</t>
        </is>
      </c>
      <c r="F667" t="n">
        <v>480</v>
      </c>
      <c r="G667" t="n">
        <v>63</v>
      </c>
      <c r="H667" t="inlineStr">
        <is>
          <t>온도 이상 정지</t>
        </is>
      </c>
      <c r="I667" t="n">
        <v>6.5</v>
      </c>
      <c r="J667" t="n">
        <v>3666</v>
      </c>
      <c r="K667" t="n">
        <v>3597</v>
      </c>
      <c r="L667" t="inlineStr">
        <is>
          <t>L-0720</t>
        </is>
      </c>
      <c r="M667">
        <f>F667-G667</f>
        <v/>
      </c>
      <c r="N667" s="2">
        <f>M667/F667</f>
        <v/>
      </c>
      <c r="O667" s="2">
        <f>I667*J667/60/M667</f>
        <v/>
      </c>
      <c r="P667" s="2">
        <f>K667/J667</f>
        <v/>
      </c>
      <c r="Q667" s="2">
        <f>N667*O667*P667</f>
        <v/>
      </c>
    </row>
    <row r="668">
      <c r="A668" t="inlineStr">
        <is>
          <t>2026-07-28</t>
        </is>
      </c>
      <c r="B668" t="inlineStr">
        <is>
          <t>야간</t>
        </is>
      </c>
      <c r="C668" t="inlineStr">
        <is>
          <t>P4</t>
        </is>
      </c>
      <c r="D668" t="inlineStr">
        <is>
          <t>연삭</t>
        </is>
      </c>
      <c r="E668" t="inlineStr">
        <is>
          <t>GR-01</t>
        </is>
      </c>
      <c r="F668" t="n">
        <v>480</v>
      </c>
      <c r="G668" t="n">
        <v>72</v>
      </c>
      <c r="H668" t="inlineStr">
        <is>
          <t>드레싱</t>
        </is>
      </c>
      <c r="I668" t="n">
        <v>6.2</v>
      </c>
      <c r="J668" t="n">
        <v>3598</v>
      </c>
      <c r="K668" t="n">
        <v>3562</v>
      </c>
      <c r="L668" t="inlineStr">
        <is>
          <t>L-0720</t>
        </is>
      </c>
      <c r="M668">
        <f>F668-G668</f>
        <v/>
      </c>
      <c r="N668" s="2">
        <f>M668/F668</f>
        <v/>
      </c>
      <c r="O668" s="2">
        <f>I668*J668/60/M668</f>
        <v/>
      </c>
      <c r="P668" s="2">
        <f>K668/J668</f>
        <v/>
      </c>
      <c r="Q668" s="2">
        <f>N668*O668*P668</f>
        <v/>
      </c>
    </row>
    <row r="669">
      <c r="A669" t="inlineStr">
        <is>
          <t>2026-07-28</t>
        </is>
      </c>
      <c r="B669" t="inlineStr">
        <is>
          <t>야간</t>
        </is>
      </c>
      <c r="C669" t="inlineStr">
        <is>
          <t>P4</t>
        </is>
      </c>
      <c r="D669" t="inlineStr">
        <is>
          <t>연삭</t>
        </is>
      </c>
      <c r="E669" t="inlineStr">
        <is>
          <t>GR-02</t>
        </is>
      </c>
      <c r="F669" t="n">
        <v>480</v>
      </c>
      <c r="G669" t="n">
        <v>42</v>
      </c>
      <c r="H669" t="inlineStr">
        <is>
          <t>드레싱</t>
        </is>
      </c>
      <c r="I669" t="n">
        <v>6.2</v>
      </c>
      <c r="J669" t="n">
        <v>3973</v>
      </c>
      <c r="K669" t="n">
        <v>3921</v>
      </c>
      <c r="L669" t="inlineStr">
        <is>
          <t>L-0720</t>
        </is>
      </c>
      <c r="M669">
        <f>F669-G669</f>
        <v/>
      </c>
      <c r="N669" s="2">
        <f>M669/F669</f>
        <v/>
      </c>
      <c r="O669" s="2">
        <f>I669*J669/60/M669</f>
        <v/>
      </c>
      <c r="P669" s="2">
        <f>K669/J669</f>
        <v/>
      </c>
      <c r="Q669" s="2">
        <f>N669*O669*P669</f>
        <v/>
      </c>
    </row>
    <row r="670">
      <c r="A670" t="inlineStr">
        <is>
          <t>2026-07-28</t>
        </is>
      </c>
      <c r="B670" t="inlineStr">
        <is>
          <t>야간</t>
        </is>
      </c>
      <c r="C670" t="inlineStr">
        <is>
          <t>P5</t>
        </is>
      </c>
      <c r="D670" t="inlineStr">
        <is>
          <t>검사</t>
        </is>
      </c>
      <c r="E670" t="inlineStr">
        <is>
          <t>IN-01</t>
        </is>
      </c>
      <c r="F670" t="n">
        <v>480</v>
      </c>
      <c r="G670" t="n">
        <v>16</v>
      </c>
      <c r="H670" t="inlineStr">
        <is>
          <t>측정기 교정</t>
        </is>
      </c>
      <c r="I670" t="n">
        <v>5.5</v>
      </c>
      <c r="J670" t="n">
        <v>4740</v>
      </c>
      <c r="K670" t="n">
        <v>4721</v>
      </c>
      <c r="L670" t="inlineStr">
        <is>
          <t>L-0720</t>
        </is>
      </c>
      <c r="M670">
        <f>F670-G670</f>
        <v/>
      </c>
      <c r="N670" s="2">
        <f>M670/F670</f>
        <v/>
      </c>
      <c r="O670" s="2">
        <f>I670*J670/60/M670</f>
        <v/>
      </c>
      <c r="P670" s="2">
        <f>K670/J670</f>
        <v/>
      </c>
      <c r="Q670" s="2">
        <f>N670*O670*P670</f>
        <v/>
      </c>
    </row>
    <row r="671">
      <c r="A671" t="inlineStr">
        <is>
          <t>2026-07-28</t>
        </is>
      </c>
      <c r="B671" t="inlineStr">
        <is>
          <t>야간</t>
        </is>
      </c>
      <c r="C671" t="inlineStr">
        <is>
          <t>P5</t>
        </is>
      </c>
      <c r="D671" t="inlineStr">
        <is>
          <t>검사</t>
        </is>
      </c>
      <c r="E671" t="inlineStr">
        <is>
          <t>IN-02</t>
        </is>
      </c>
      <c r="F671" t="n">
        <v>480</v>
      </c>
      <c r="G671" t="n">
        <v>56</v>
      </c>
      <c r="H671" t="inlineStr">
        <is>
          <t>측정기 교정</t>
        </is>
      </c>
      <c r="I671" t="n">
        <v>5.5</v>
      </c>
      <c r="J671" t="n">
        <v>4381</v>
      </c>
      <c r="K671" t="n">
        <v>4364</v>
      </c>
      <c r="L671" t="inlineStr">
        <is>
          <t>L-0720</t>
        </is>
      </c>
      <c r="M671">
        <f>F671-G671</f>
        <v/>
      </c>
      <c r="N671" s="2">
        <f>M671/F671</f>
        <v/>
      </c>
      <c r="O671" s="2">
        <f>I671*J671/60/M671</f>
        <v/>
      </c>
      <c r="P671" s="2">
        <f>K671/J671</f>
        <v/>
      </c>
      <c r="Q671" s="2">
        <f>N671*O671*P671</f>
        <v/>
      </c>
    </row>
    <row r="672">
      <c r="A672" t="inlineStr">
        <is>
          <t>2026-07-28</t>
        </is>
      </c>
      <c r="B672" t="inlineStr">
        <is>
          <t>야간</t>
        </is>
      </c>
      <c r="C672" t="inlineStr">
        <is>
          <t>P6</t>
        </is>
      </c>
      <c r="D672" t="inlineStr">
        <is>
          <t>포장</t>
        </is>
      </c>
      <c r="E672" t="inlineStr">
        <is>
          <t>PK-01</t>
        </is>
      </c>
      <c r="F672" t="n">
        <v>480</v>
      </c>
      <c r="G672" t="n">
        <v>20</v>
      </c>
      <c r="H672" t="inlineStr">
        <is>
          <t>라벨 교체</t>
        </is>
      </c>
      <c r="I672" t="n">
        <v>4.8</v>
      </c>
      <c r="J672" t="n">
        <v>5360</v>
      </c>
      <c r="K672" t="n">
        <v>5343</v>
      </c>
      <c r="L672" t="inlineStr">
        <is>
          <t>L-0720</t>
        </is>
      </c>
      <c r="M672">
        <f>F672-G672</f>
        <v/>
      </c>
      <c r="N672" s="2">
        <f>M672/F672</f>
        <v/>
      </c>
      <c r="O672" s="2">
        <f>I672*J672/60/M672</f>
        <v/>
      </c>
      <c r="P672" s="2">
        <f>K672/J672</f>
        <v/>
      </c>
      <c r="Q672" s="2">
        <f>N672*O672*P672</f>
        <v/>
      </c>
    </row>
    <row r="673">
      <c r="A673" t="inlineStr">
        <is>
          <t>2026-07-28</t>
        </is>
      </c>
      <c r="B673" t="inlineStr">
        <is>
          <t>야간</t>
        </is>
      </c>
      <c r="C673" t="inlineStr">
        <is>
          <t>P6</t>
        </is>
      </c>
      <c r="D673" t="inlineStr">
        <is>
          <t>포장</t>
        </is>
      </c>
      <c r="E673" t="inlineStr">
        <is>
          <t>PK-02</t>
        </is>
      </c>
      <c r="F673" t="n">
        <v>480</v>
      </c>
      <c r="G673" t="n">
        <v>54</v>
      </c>
      <c r="H673" t="inlineStr">
        <is>
          <t>라벨 교체</t>
        </is>
      </c>
      <c r="I673" t="n">
        <v>4.8</v>
      </c>
      <c r="J673" t="n">
        <v>4829</v>
      </c>
      <c r="K673" t="n">
        <v>4815</v>
      </c>
      <c r="L673" t="inlineStr">
        <is>
          <t>L-0720</t>
        </is>
      </c>
      <c r="M673">
        <f>F673-G673</f>
        <v/>
      </c>
      <c r="N673" s="2">
        <f>M673/F673</f>
        <v/>
      </c>
      <c r="O673" s="2">
        <f>I673*J673/60/M673</f>
        <v/>
      </c>
      <c r="P673" s="2">
        <f>K673/J673</f>
        <v/>
      </c>
      <c r="Q673" s="2">
        <f>N673*O673*P673</f>
        <v/>
      </c>
    </row>
    <row r="674">
      <c r="A674" t="inlineStr">
        <is>
          <t>2026-07-29</t>
        </is>
      </c>
      <c r="B674" t="inlineStr">
        <is>
          <t>주간</t>
        </is>
      </c>
      <c r="C674" t="inlineStr">
        <is>
          <t>P1</t>
        </is>
      </c>
      <c r="D674" t="inlineStr">
        <is>
          <t>원료혼합</t>
        </is>
      </c>
      <c r="E674" t="inlineStr">
        <is>
          <t>MX-01</t>
        </is>
      </c>
      <c r="F674" t="n">
        <v>480</v>
      </c>
      <c r="G674" t="n">
        <v>4</v>
      </c>
      <c r="H674" t="inlineStr">
        <is>
          <t>원료 대기</t>
        </is>
      </c>
      <c r="I674" t="n">
        <v>5</v>
      </c>
      <c r="J674" t="n">
        <v>5433</v>
      </c>
      <c r="K674" t="n">
        <v>5399</v>
      </c>
      <c r="L674" t="inlineStr">
        <is>
          <t>L-0720</t>
        </is>
      </c>
      <c r="M674">
        <f>F674-G674</f>
        <v/>
      </c>
      <c r="N674" s="2">
        <f>M674/F674</f>
        <v/>
      </c>
      <c r="O674" s="2">
        <f>I674*J674/60/M674</f>
        <v/>
      </c>
      <c r="P674" s="2">
        <f>K674/J674</f>
        <v/>
      </c>
      <c r="Q674" s="2">
        <f>N674*O674*P674</f>
        <v/>
      </c>
    </row>
    <row r="675">
      <c r="A675" t="inlineStr">
        <is>
          <t>2026-07-29</t>
        </is>
      </c>
      <c r="B675" t="inlineStr">
        <is>
          <t>주간</t>
        </is>
      </c>
      <c r="C675" t="inlineStr">
        <is>
          <t>P1</t>
        </is>
      </c>
      <c r="D675" t="inlineStr">
        <is>
          <t>원료혼합</t>
        </is>
      </c>
      <c r="E675" t="inlineStr">
        <is>
          <t>MX-02</t>
        </is>
      </c>
      <c r="F675" t="n">
        <v>480</v>
      </c>
      <c r="G675" t="n">
        <v>49</v>
      </c>
      <c r="H675" t="inlineStr">
        <is>
          <t>청소</t>
        </is>
      </c>
      <c r="I675" t="n">
        <v>5</v>
      </c>
      <c r="J675" t="n">
        <v>4750</v>
      </c>
      <c r="K675" t="n">
        <v>4714</v>
      </c>
      <c r="L675" t="inlineStr">
        <is>
          <t>L-0720</t>
        </is>
      </c>
      <c r="M675">
        <f>F675-G675</f>
        <v/>
      </c>
      <c r="N675" s="2">
        <f>M675/F675</f>
        <v/>
      </c>
      <c r="O675" s="2">
        <f>I675*J675/60/M675</f>
        <v/>
      </c>
      <c r="P675" s="2">
        <f>K675/J675</f>
        <v/>
      </c>
      <c r="Q675" s="2">
        <f>N675*O675*P675</f>
        <v/>
      </c>
    </row>
    <row r="676">
      <c r="A676" t="inlineStr">
        <is>
          <t>2026-07-29</t>
        </is>
      </c>
      <c r="B676" t="inlineStr">
        <is>
          <t>주간</t>
        </is>
      </c>
      <c r="C676" t="inlineStr">
        <is>
          <t>P2</t>
        </is>
      </c>
      <c r="D676" t="inlineStr">
        <is>
          <t>성형</t>
        </is>
      </c>
      <c r="E676" t="inlineStr">
        <is>
          <t>PR-01</t>
        </is>
      </c>
      <c r="F676" t="n">
        <v>480</v>
      </c>
      <c r="G676" t="n">
        <v>17</v>
      </c>
      <c r="H676" t="inlineStr">
        <is>
          <t>분말 공급 지연</t>
        </is>
      </c>
      <c r="I676" t="n">
        <v>6</v>
      </c>
      <c r="J676" t="n">
        <v>4265</v>
      </c>
      <c r="K676" t="n">
        <v>4226</v>
      </c>
      <c r="L676" t="inlineStr">
        <is>
          <t>L-0720</t>
        </is>
      </c>
      <c r="M676">
        <f>F676-G676</f>
        <v/>
      </c>
      <c r="N676" s="2">
        <f>M676/F676</f>
        <v/>
      </c>
      <c r="O676" s="2">
        <f>I676*J676/60/M676</f>
        <v/>
      </c>
      <c r="P676" s="2">
        <f>K676/J676</f>
        <v/>
      </c>
      <c r="Q676" s="2">
        <f>N676*O676*P676</f>
        <v/>
      </c>
    </row>
    <row r="677">
      <c r="A677" t="inlineStr">
        <is>
          <t>2026-07-29</t>
        </is>
      </c>
      <c r="B677" t="inlineStr">
        <is>
          <t>주간</t>
        </is>
      </c>
      <c r="C677" t="inlineStr">
        <is>
          <t>P2</t>
        </is>
      </c>
      <c r="D677" t="inlineStr">
        <is>
          <t>성형</t>
        </is>
      </c>
      <c r="E677" t="inlineStr">
        <is>
          <t>PR-02</t>
        </is>
      </c>
      <c r="F677" t="n">
        <v>480</v>
      </c>
      <c r="G677" t="n">
        <v>46</v>
      </c>
      <c r="H677" t="inlineStr">
        <is>
          <t>금형 교체</t>
        </is>
      </c>
      <c r="I677" t="n">
        <v>6</v>
      </c>
      <c r="J677" t="n">
        <v>4170</v>
      </c>
      <c r="K677" t="n">
        <v>4130</v>
      </c>
      <c r="L677" t="inlineStr">
        <is>
          <t>L-0720</t>
        </is>
      </c>
      <c r="M677">
        <f>F677-G677</f>
        <v/>
      </c>
      <c r="N677" s="2">
        <f>M677/F677</f>
        <v/>
      </c>
      <c r="O677" s="2">
        <f>I677*J677/60/M677</f>
        <v/>
      </c>
      <c r="P677" s="2">
        <f>K677/J677</f>
        <v/>
      </c>
      <c r="Q677" s="2">
        <f>N677*O677*P677</f>
        <v/>
      </c>
    </row>
    <row r="678">
      <c r="A678" t="inlineStr">
        <is>
          <t>2026-07-29</t>
        </is>
      </c>
      <c r="B678" t="inlineStr">
        <is>
          <t>주간</t>
        </is>
      </c>
      <c r="C678" t="inlineStr">
        <is>
          <t>P3</t>
        </is>
      </c>
      <c r="D678" t="inlineStr">
        <is>
          <t>소결</t>
        </is>
      </c>
      <c r="E678" t="inlineStr">
        <is>
          <t>SF-01</t>
        </is>
      </c>
      <c r="F678" t="n">
        <v>480</v>
      </c>
      <c r="G678" t="n">
        <v>38</v>
      </c>
      <c r="H678" t="inlineStr">
        <is>
          <t>온도 이상 정지</t>
        </is>
      </c>
      <c r="I678" t="n">
        <v>6.5</v>
      </c>
      <c r="J678" t="n">
        <v>3927</v>
      </c>
      <c r="K678" t="n">
        <v>3858</v>
      </c>
      <c r="L678" t="inlineStr">
        <is>
          <t>L-0720</t>
        </is>
      </c>
      <c r="M678">
        <f>F678-G678</f>
        <v/>
      </c>
      <c r="N678" s="2">
        <f>M678/F678</f>
        <v/>
      </c>
      <c r="O678" s="2">
        <f>I678*J678/60/M678</f>
        <v/>
      </c>
      <c r="P678" s="2">
        <f>K678/J678</f>
        <v/>
      </c>
      <c r="Q678" s="2">
        <f>N678*O678*P678</f>
        <v/>
      </c>
    </row>
    <row r="679">
      <c r="A679" t="inlineStr">
        <is>
          <t>2026-07-29</t>
        </is>
      </c>
      <c r="B679" t="inlineStr">
        <is>
          <t>주간</t>
        </is>
      </c>
      <c r="C679" t="inlineStr">
        <is>
          <t>P3</t>
        </is>
      </c>
      <c r="D679" t="inlineStr">
        <is>
          <t>소결</t>
        </is>
      </c>
      <c r="E679" t="inlineStr">
        <is>
          <t>SF-02</t>
        </is>
      </c>
      <c r="F679" t="n">
        <v>480</v>
      </c>
      <c r="G679" t="n">
        <v>39</v>
      </c>
      <c r="H679" t="inlineStr">
        <is>
          <t>장입 대기</t>
        </is>
      </c>
      <c r="I679" t="n">
        <v>6.5</v>
      </c>
      <c r="J679" t="n">
        <v>3878</v>
      </c>
      <c r="K679" t="n">
        <v>3804</v>
      </c>
      <c r="L679" t="inlineStr">
        <is>
          <t>L-0720</t>
        </is>
      </c>
      <c r="M679">
        <f>F679-G679</f>
        <v/>
      </c>
      <c r="N679" s="2">
        <f>M679/F679</f>
        <v/>
      </c>
      <c r="O679" s="2">
        <f>I679*J679/60/M679</f>
        <v/>
      </c>
      <c r="P679" s="2">
        <f>K679/J679</f>
        <v/>
      </c>
      <c r="Q679" s="2">
        <f>N679*O679*P679</f>
        <v/>
      </c>
    </row>
    <row r="680">
      <c r="A680" t="inlineStr">
        <is>
          <t>2026-07-29</t>
        </is>
      </c>
      <c r="B680" t="inlineStr">
        <is>
          <t>주간</t>
        </is>
      </c>
      <c r="C680" t="inlineStr">
        <is>
          <t>P4</t>
        </is>
      </c>
      <c r="D680" t="inlineStr">
        <is>
          <t>연삭</t>
        </is>
      </c>
      <c r="E680" t="inlineStr">
        <is>
          <t>GR-01</t>
        </is>
      </c>
      <c r="F680" t="n">
        <v>480</v>
      </c>
      <c r="G680" t="n">
        <v>48</v>
      </c>
      <c r="H680" t="inlineStr">
        <is>
          <t>공구 교체</t>
        </is>
      </c>
      <c r="I680" t="n">
        <v>6.2</v>
      </c>
      <c r="J680" t="n">
        <v>3914</v>
      </c>
      <c r="K680" t="n">
        <v>3883</v>
      </c>
      <c r="L680" t="inlineStr">
        <is>
          <t>L-0720</t>
        </is>
      </c>
      <c r="M680">
        <f>F680-G680</f>
        <v/>
      </c>
      <c r="N680" s="2">
        <f>M680/F680</f>
        <v/>
      </c>
      <c r="O680" s="2">
        <f>I680*J680/60/M680</f>
        <v/>
      </c>
      <c r="P680" s="2">
        <f>K680/J680</f>
        <v/>
      </c>
      <c r="Q680" s="2">
        <f>N680*O680*P680</f>
        <v/>
      </c>
    </row>
    <row r="681">
      <c r="A681" t="inlineStr">
        <is>
          <t>2026-07-29</t>
        </is>
      </c>
      <c r="B681" t="inlineStr">
        <is>
          <t>주간</t>
        </is>
      </c>
      <c r="C681" t="inlineStr">
        <is>
          <t>P4</t>
        </is>
      </c>
      <c r="D681" t="inlineStr">
        <is>
          <t>연삭</t>
        </is>
      </c>
      <c r="E681" t="inlineStr">
        <is>
          <t>GR-02</t>
        </is>
      </c>
      <c r="F681" t="n">
        <v>480</v>
      </c>
      <c r="G681" t="n">
        <v>68</v>
      </c>
      <c r="H681" t="inlineStr">
        <is>
          <t>드레싱</t>
        </is>
      </c>
      <c r="I681" t="n">
        <v>6.2</v>
      </c>
      <c r="J681" t="n">
        <v>3883</v>
      </c>
      <c r="K681" t="n">
        <v>3850</v>
      </c>
      <c r="L681" t="inlineStr">
        <is>
          <t>L-0720</t>
        </is>
      </c>
      <c r="M681">
        <f>F681-G681</f>
        <v/>
      </c>
      <c r="N681" s="2">
        <f>M681/F681</f>
        <v/>
      </c>
      <c r="O681" s="2">
        <f>I681*J681/60/M681</f>
        <v/>
      </c>
      <c r="P681" s="2">
        <f>K681/J681</f>
        <v/>
      </c>
      <c r="Q681" s="2">
        <f>N681*O681*P681</f>
        <v/>
      </c>
    </row>
    <row r="682">
      <c r="A682" t="inlineStr">
        <is>
          <t>2026-07-29</t>
        </is>
      </c>
      <c r="B682" t="inlineStr">
        <is>
          <t>주간</t>
        </is>
      </c>
      <c r="C682" t="inlineStr">
        <is>
          <t>P5</t>
        </is>
      </c>
      <c r="D682" t="inlineStr">
        <is>
          <t>검사</t>
        </is>
      </c>
      <c r="E682" t="inlineStr">
        <is>
          <t>IN-01</t>
        </is>
      </c>
      <c r="F682" t="n">
        <v>480</v>
      </c>
      <c r="G682" t="n">
        <v>11</v>
      </c>
      <c r="H682" t="inlineStr">
        <is>
          <t>샘플 재검</t>
        </is>
      </c>
      <c r="I682" t="n">
        <v>5.5</v>
      </c>
      <c r="J682" t="n">
        <v>4643</v>
      </c>
      <c r="K682" t="n">
        <v>4630</v>
      </c>
      <c r="L682" t="inlineStr">
        <is>
          <t>L-0720</t>
        </is>
      </c>
      <c r="M682">
        <f>F682-G682</f>
        <v/>
      </c>
      <c r="N682" s="2">
        <f>M682/F682</f>
        <v/>
      </c>
      <c r="O682" s="2">
        <f>I682*J682/60/M682</f>
        <v/>
      </c>
      <c r="P682" s="2">
        <f>K682/J682</f>
        <v/>
      </c>
      <c r="Q682" s="2">
        <f>N682*O682*P682</f>
        <v/>
      </c>
    </row>
    <row r="683">
      <c r="A683" t="inlineStr">
        <is>
          <t>2026-07-29</t>
        </is>
      </c>
      <c r="B683" t="inlineStr">
        <is>
          <t>주간</t>
        </is>
      </c>
      <c r="C683" t="inlineStr">
        <is>
          <t>P5</t>
        </is>
      </c>
      <c r="D683" t="inlineStr">
        <is>
          <t>검사</t>
        </is>
      </c>
      <c r="E683" t="inlineStr">
        <is>
          <t>IN-02</t>
        </is>
      </c>
      <c r="F683" t="n">
        <v>480</v>
      </c>
      <c r="G683" t="n">
        <v>4</v>
      </c>
      <c r="H683" t="inlineStr">
        <is>
          <t>샘플 재검</t>
        </is>
      </c>
      <c r="I683" t="n">
        <v>5.5</v>
      </c>
      <c r="J683" t="n">
        <v>4597</v>
      </c>
      <c r="K683" t="n">
        <v>4585</v>
      </c>
      <c r="L683" t="inlineStr">
        <is>
          <t>L-0720</t>
        </is>
      </c>
      <c r="M683">
        <f>F683-G683</f>
        <v/>
      </c>
      <c r="N683" s="2">
        <f>M683/F683</f>
        <v/>
      </c>
      <c r="O683" s="2">
        <f>I683*J683/60/M683</f>
        <v/>
      </c>
      <c r="P683" s="2">
        <f>K683/J683</f>
        <v/>
      </c>
      <c r="Q683" s="2">
        <f>N683*O683*P683</f>
        <v/>
      </c>
    </row>
    <row r="684">
      <c r="A684" t="inlineStr">
        <is>
          <t>2026-07-29</t>
        </is>
      </c>
      <c r="B684" t="inlineStr">
        <is>
          <t>주간</t>
        </is>
      </c>
      <c r="C684" t="inlineStr">
        <is>
          <t>P6</t>
        </is>
      </c>
      <c r="D684" t="inlineStr">
        <is>
          <t>포장</t>
        </is>
      </c>
      <c r="E684" t="inlineStr">
        <is>
          <t>PK-01</t>
        </is>
      </c>
      <c r="F684" t="n">
        <v>480</v>
      </c>
      <c r="G684" t="n">
        <v>39</v>
      </c>
      <c r="H684" t="inlineStr">
        <is>
          <t>라벨 교체</t>
        </is>
      </c>
      <c r="I684" t="n">
        <v>4.8</v>
      </c>
      <c r="J684" t="n">
        <v>5069</v>
      </c>
      <c r="K684" t="n">
        <v>5057</v>
      </c>
      <c r="L684" t="inlineStr">
        <is>
          <t>L-0720</t>
        </is>
      </c>
      <c r="M684">
        <f>F684-G684</f>
        <v/>
      </c>
      <c r="N684" s="2">
        <f>M684/F684</f>
        <v/>
      </c>
      <c r="O684" s="2">
        <f>I684*J684/60/M684</f>
        <v/>
      </c>
      <c r="P684" s="2">
        <f>K684/J684</f>
        <v/>
      </c>
      <c r="Q684" s="2">
        <f>N684*O684*P684</f>
        <v/>
      </c>
    </row>
    <row r="685">
      <c r="A685" t="inlineStr">
        <is>
          <t>2026-07-29</t>
        </is>
      </c>
      <c r="B685" t="inlineStr">
        <is>
          <t>주간</t>
        </is>
      </c>
      <c r="C685" t="inlineStr">
        <is>
          <t>P6</t>
        </is>
      </c>
      <c r="D685" t="inlineStr">
        <is>
          <t>포장</t>
        </is>
      </c>
      <c r="E685" t="inlineStr">
        <is>
          <t>PK-02</t>
        </is>
      </c>
      <c r="F685" t="n">
        <v>480</v>
      </c>
      <c r="G685" t="n">
        <v>26</v>
      </c>
      <c r="H685" t="inlineStr">
        <is>
          <t>자재 대기</t>
        </is>
      </c>
      <c r="I685" t="n">
        <v>4.8</v>
      </c>
      <c r="J685" t="n">
        <v>5444</v>
      </c>
      <c r="K685" t="n">
        <v>5430</v>
      </c>
      <c r="L685" t="inlineStr">
        <is>
          <t>L-0720</t>
        </is>
      </c>
      <c r="M685">
        <f>F685-G685</f>
        <v/>
      </c>
      <c r="N685" s="2">
        <f>M685/F685</f>
        <v/>
      </c>
      <c r="O685" s="2">
        <f>I685*J685/60/M685</f>
        <v/>
      </c>
      <c r="P685" s="2">
        <f>K685/J685</f>
        <v/>
      </c>
      <c r="Q685" s="2">
        <f>N685*O685*P685</f>
        <v/>
      </c>
    </row>
    <row r="686">
      <c r="A686" t="inlineStr">
        <is>
          <t>2026-07-29</t>
        </is>
      </c>
      <c r="B686" t="inlineStr">
        <is>
          <t>야간</t>
        </is>
      </c>
      <c r="C686" t="inlineStr">
        <is>
          <t>P1</t>
        </is>
      </c>
      <c r="D686" t="inlineStr">
        <is>
          <t>원료혼합</t>
        </is>
      </c>
      <c r="E686" t="inlineStr">
        <is>
          <t>MX-01</t>
        </is>
      </c>
      <c r="F686" t="n">
        <v>480</v>
      </c>
      <c r="G686" t="n">
        <v>12</v>
      </c>
      <c r="H686" t="inlineStr">
        <is>
          <t>원료 대기</t>
        </is>
      </c>
      <c r="I686" t="n">
        <v>5</v>
      </c>
      <c r="J686" t="n">
        <v>5279</v>
      </c>
      <c r="K686" t="n">
        <v>5242</v>
      </c>
      <c r="L686" t="inlineStr">
        <is>
          <t>L-0720</t>
        </is>
      </c>
      <c r="M686">
        <f>F686-G686</f>
        <v/>
      </c>
      <c r="N686" s="2">
        <f>M686/F686</f>
        <v/>
      </c>
      <c r="O686" s="2">
        <f>I686*J686/60/M686</f>
        <v/>
      </c>
      <c r="P686" s="2">
        <f>K686/J686</f>
        <v/>
      </c>
      <c r="Q686" s="2">
        <f>N686*O686*P686</f>
        <v/>
      </c>
    </row>
    <row r="687">
      <c r="A687" t="inlineStr">
        <is>
          <t>2026-07-29</t>
        </is>
      </c>
      <c r="B687" t="inlineStr">
        <is>
          <t>야간</t>
        </is>
      </c>
      <c r="C687" t="inlineStr">
        <is>
          <t>P1</t>
        </is>
      </c>
      <c r="D687" t="inlineStr">
        <is>
          <t>원료혼합</t>
        </is>
      </c>
      <c r="E687" t="inlineStr">
        <is>
          <t>MX-02</t>
        </is>
      </c>
      <c r="F687" t="n">
        <v>480</v>
      </c>
      <c r="G687" t="n">
        <v>17</v>
      </c>
      <c r="H687" t="inlineStr">
        <is>
          <t>청소</t>
        </is>
      </c>
      <c r="I687" t="n">
        <v>5</v>
      </c>
      <c r="J687" t="n">
        <v>5085</v>
      </c>
      <c r="K687" t="n">
        <v>5049</v>
      </c>
      <c r="L687" t="inlineStr">
        <is>
          <t>L-0720</t>
        </is>
      </c>
      <c r="M687">
        <f>F687-G687</f>
        <v/>
      </c>
      <c r="N687" s="2">
        <f>M687/F687</f>
        <v/>
      </c>
      <c r="O687" s="2">
        <f>I687*J687/60/M687</f>
        <v/>
      </c>
      <c r="P687" s="2">
        <f>K687/J687</f>
        <v/>
      </c>
      <c r="Q687" s="2">
        <f>N687*O687*P687</f>
        <v/>
      </c>
    </row>
    <row r="688">
      <c r="A688" t="inlineStr">
        <is>
          <t>2026-07-29</t>
        </is>
      </c>
      <c r="B688" t="inlineStr">
        <is>
          <t>야간</t>
        </is>
      </c>
      <c r="C688" t="inlineStr">
        <is>
          <t>P2</t>
        </is>
      </c>
      <c r="D688" t="inlineStr">
        <is>
          <t>성형</t>
        </is>
      </c>
      <c r="E688" t="inlineStr">
        <is>
          <t>PR-01</t>
        </is>
      </c>
      <c r="F688" t="n">
        <v>480</v>
      </c>
      <c r="G688" t="n">
        <v>2</v>
      </c>
      <c r="H688" t="inlineStr">
        <is>
          <t>분말 공급 지연</t>
        </is>
      </c>
      <c r="I688" t="n">
        <v>6</v>
      </c>
      <c r="J688" t="n">
        <v>4517</v>
      </c>
      <c r="K688" t="n">
        <v>4469</v>
      </c>
      <c r="L688" t="inlineStr">
        <is>
          <t>L-0720</t>
        </is>
      </c>
      <c r="M688">
        <f>F688-G688</f>
        <v/>
      </c>
      <c r="N688" s="2">
        <f>M688/F688</f>
        <v/>
      </c>
      <c r="O688" s="2">
        <f>I688*J688/60/M688</f>
        <v/>
      </c>
      <c r="P688" s="2">
        <f>K688/J688</f>
        <v/>
      </c>
      <c r="Q688" s="2">
        <f>N688*O688*P688</f>
        <v/>
      </c>
    </row>
    <row r="689">
      <c r="A689" t="inlineStr">
        <is>
          <t>2026-07-29</t>
        </is>
      </c>
      <c r="B689" t="inlineStr">
        <is>
          <t>야간</t>
        </is>
      </c>
      <c r="C689" t="inlineStr">
        <is>
          <t>P2</t>
        </is>
      </c>
      <c r="D689" t="inlineStr">
        <is>
          <t>성형</t>
        </is>
      </c>
      <c r="E689" t="inlineStr">
        <is>
          <t>PR-02</t>
        </is>
      </c>
      <c r="F689" t="n">
        <v>480</v>
      </c>
      <c r="G689" t="n">
        <v>22</v>
      </c>
      <c r="H689" t="inlineStr">
        <is>
          <t>금형 교체</t>
        </is>
      </c>
      <c r="I689" t="n">
        <v>6</v>
      </c>
      <c r="J689" t="n">
        <v>4267</v>
      </c>
      <c r="K689" t="n">
        <v>4219</v>
      </c>
      <c r="L689" t="inlineStr">
        <is>
          <t>L-0720</t>
        </is>
      </c>
      <c r="M689">
        <f>F689-G689</f>
        <v/>
      </c>
      <c r="N689" s="2">
        <f>M689/F689</f>
        <v/>
      </c>
      <c r="O689" s="2">
        <f>I689*J689/60/M689</f>
        <v/>
      </c>
      <c r="P689" s="2">
        <f>K689/J689</f>
        <v/>
      </c>
      <c r="Q689" s="2">
        <f>N689*O689*P689</f>
        <v/>
      </c>
    </row>
    <row r="690">
      <c r="A690" t="inlineStr">
        <is>
          <t>2026-07-29</t>
        </is>
      </c>
      <c r="B690" t="inlineStr">
        <is>
          <t>야간</t>
        </is>
      </c>
      <c r="C690" t="inlineStr">
        <is>
          <t>P3</t>
        </is>
      </c>
      <c r="D690" t="inlineStr">
        <is>
          <t>소결</t>
        </is>
      </c>
      <c r="E690" t="inlineStr">
        <is>
          <t>SF-01</t>
        </is>
      </c>
      <c r="F690" t="n">
        <v>480</v>
      </c>
      <c r="G690" t="n">
        <v>43</v>
      </c>
      <c r="H690" t="inlineStr">
        <is>
          <t>장입 대기</t>
        </is>
      </c>
      <c r="I690" t="n">
        <v>6.5</v>
      </c>
      <c r="J690" t="n">
        <v>3862</v>
      </c>
      <c r="K690" t="n">
        <v>3783</v>
      </c>
      <c r="L690" t="inlineStr">
        <is>
          <t>L-0720</t>
        </is>
      </c>
      <c r="M690">
        <f>F690-G690</f>
        <v/>
      </c>
      <c r="N690" s="2">
        <f>M690/F690</f>
        <v/>
      </c>
      <c r="O690" s="2">
        <f>I690*J690/60/M690</f>
        <v/>
      </c>
      <c r="P690" s="2">
        <f>K690/J690</f>
        <v/>
      </c>
      <c r="Q690" s="2">
        <f>N690*O690*P690</f>
        <v/>
      </c>
    </row>
    <row r="691">
      <c r="A691" t="inlineStr">
        <is>
          <t>2026-07-29</t>
        </is>
      </c>
      <c r="B691" t="inlineStr">
        <is>
          <t>야간</t>
        </is>
      </c>
      <c r="C691" t="inlineStr">
        <is>
          <t>P3</t>
        </is>
      </c>
      <c r="D691" t="inlineStr">
        <is>
          <t>소결</t>
        </is>
      </c>
      <c r="E691" t="inlineStr">
        <is>
          <t>SF-02</t>
        </is>
      </c>
      <c r="F691" t="n">
        <v>480</v>
      </c>
      <c r="G691" t="n">
        <v>41</v>
      </c>
      <c r="H691" t="inlineStr">
        <is>
          <t>재가열</t>
        </is>
      </c>
      <c r="I691" t="n">
        <v>6.5</v>
      </c>
      <c r="J691" t="n">
        <v>3746</v>
      </c>
      <c r="K691" t="n">
        <v>3651</v>
      </c>
      <c r="L691" t="inlineStr">
        <is>
          <t>L-0720</t>
        </is>
      </c>
      <c r="M691">
        <f>F691-G691</f>
        <v/>
      </c>
      <c r="N691" s="2">
        <f>M691/F691</f>
        <v/>
      </c>
      <c r="O691" s="2">
        <f>I691*J691/60/M691</f>
        <v/>
      </c>
      <c r="P691" s="2">
        <f>K691/J691</f>
        <v/>
      </c>
      <c r="Q691" s="2">
        <f>N691*O691*P691</f>
        <v/>
      </c>
    </row>
    <row r="692">
      <c r="A692" t="inlineStr">
        <is>
          <t>2026-07-29</t>
        </is>
      </c>
      <c r="B692" t="inlineStr">
        <is>
          <t>야간</t>
        </is>
      </c>
      <c r="C692" t="inlineStr">
        <is>
          <t>P4</t>
        </is>
      </c>
      <c r="D692" t="inlineStr">
        <is>
          <t>연삭</t>
        </is>
      </c>
      <c r="E692" t="inlineStr">
        <is>
          <t>GR-01</t>
        </is>
      </c>
      <c r="F692" t="n">
        <v>480</v>
      </c>
      <c r="G692" t="n">
        <v>26</v>
      </c>
      <c r="H692" t="inlineStr">
        <is>
          <t>공구 교체</t>
        </is>
      </c>
      <c r="I692" t="n">
        <v>6.2</v>
      </c>
      <c r="J692" t="n">
        <v>4225</v>
      </c>
      <c r="K692" t="n">
        <v>4182</v>
      </c>
      <c r="L692" t="inlineStr">
        <is>
          <t>L-0720</t>
        </is>
      </c>
      <c r="M692">
        <f>F692-G692</f>
        <v/>
      </c>
      <c r="N692" s="2">
        <f>M692/F692</f>
        <v/>
      </c>
      <c r="O692" s="2">
        <f>I692*J692/60/M692</f>
        <v/>
      </c>
      <c r="P692" s="2">
        <f>K692/J692</f>
        <v/>
      </c>
      <c r="Q692" s="2">
        <f>N692*O692*P692</f>
        <v/>
      </c>
    </row>
    <row r="693">
      <c r="A693" t="inlineStr">
        <is>
          <t>2026-07-29</t>
        </is>
      </c>
      <c r="B693" t="inlineStr">
        <is>
          <t>야간</t>
        </is>
      </c>
      <c r="C693" t="inlineStr">
        <is>
          <t>P4</t>
        </is>
      </c>
      <c r="D693" t="inlineStr">
        <is>
          <t>연삭</t>
        </is>
      </c>
      <c r="E693" t="inlineStr">
        <is>
          <t>GR-02</t>
        </is>
      </c>
      <c r="F693" t="n">
        <v>480</v>
      </c>
      <c r="G693" t="n">
        <v>83</v>
      </c>
      <c r="H693" t="inlineStr">
        <is>
          <t>드레싱</t>
        </is>
      </c>
      <c r="I693" t="n">
        <v>6.2</v>
      </c>
      <c r="J693" t="n">
        <v>3658</v>
      </c>
      <c r="K693" t="n">
        <v>3615</v>
      </c>
      <c r="L693" t="inlineStr">
        <is>
          <t>L-0720</t>
        </is>
      </c>
      <c r="M693">
        <f>F693-G693</f>
        <v/>
      </c>
      <c r="N693" s="2">
        <f>M693/F693</f>
        <v/>
      </c>
      <c r="O693" s="2">
        <f>I693*J693/60/M693</f>
        <v/>
      </c>
      <c r="P693" s="2">
        <f>K693/J693</f>
        <v/>
      </c>
      <c r="Q693" s="2">
        <f>N693*O693*P693</f>
        <v/>
      </c>
    </row>
    <row r="694">
      <c r="A694" t="inlineStr">
        <is>
          <t>2026-07-29</t>
        </is>
      </c>
      <c r="B694" t="inlineStr">
        <is>
          <t>야간</t>
        </is>
      </c>
      <c r="C694" t="inlineStr">
        <is>
          <t>P5</t>
        </is>
      </c>
      <c r="D694" t="inlineStr">
        <is>
          <t>검사</t>
        </is>
      </c>
      <c r="E694" t="inlineStr">
        <is>
          <t>IN-01</t>
        </is>
      </c>
      <c r="F694" t="n">
        <v>480</v>
      </c>
      <c r="G694" t="n">
        <v>16</v>
      </c>
      <c r="H694" t="inlineStr">
        <is>
          <t>샘플 재검</t>
        </is>
      </c>
      <c r="I694" t="n">
        <v>5.5</v>
      </c>
      <c r="J694" t="n">
        <v>4756</v>
      </c>
      <c r="K694" t="n">
        <v>4739</v>
      </c>
      <c r="L694" t="inlineStr">
        <is>
          <t>L-0720</t>
        </is>
      </c>
      <c r="M694">
        <f>F694-G694</f>
        <v/>
      </c>
      <c r="N694" s="2">
        <f>M694/F694</f>
        <v/>
      </c>
      <c r="O694" s="2">
        <f>I694*J694/60/M694</f>
        <v/>
      </c>
      <c r="P694" s="2">
        <f>K694/J694</f>
        <v/>
      </c>
      <c r="Q694" s="2">
        <f>N694*O694*P694</f>
        <v/>
      </c>
    </row>
    <row r="695">
      <c r="A695" t="inlineStr">
        <is>
          <t>2026-07-29</t>
        </is>
      </c>
      <c r="B695" t="inlineStr">
        <is>
          <t>야간</t>
        </is>
      </c>
      <c r="C695" t="inlineStr">
        <is>
          <t>P5</t>
        </is>
      </c>
      <c r="D695" t="inlineStr">
        <is>
          <t>검사</t>
        </is>
      </c>
      <c r="E695" t="inlineStr">
        <is>
          <t>IN-02</t>
        </is>
      </c>
      <c r="F695" t="n">
        <v>480</v>
      </c>
      <c r="G695" t="n">
        <v>7</v>
      </c>
      <c r="H695" t="inlineStr">
        <is>
          <t>측정기 교정</t>
        </is>
      </c>
      <c r="I695" t="n">
        <v>5.5</v>
      </c>
      <c r="J695" t="n">
        <v>4825</v>
      </c>
      <c r="K695" t="n">
        <v>4802</v>
      </c>
      <c r="L695" t="inlineStr">
        <is>
          <t>L-0720</t>
        </is>
      </c>
      <c r="M695">
        <f>F695-G695</f>
        <v/>
      </c>
      <c r="N695" s="2">
        <f>M695/F695</f>
        <v/>
      </c>
      <c r="O695" s="2">
        <f>I695*J695/60/M695</f>
        <v/>
      </c>
      <c r="P695" s="2">
        <f>K695/J695</f>
        <v/>
      </c>
      <c r="Q695" s="2">
        <f>N695*O695*P695</f>
        <v/>
      </c>
    </row>
    <row r="696">
      <c r="A696" t="inlineStr">
        <is>
          <t>2026-07-29</t>
        </is>
      </c>
      <c r="B696" t="inlineStr">
        <is>
          <t>야간</t>
        </is>
      </c>
      <c r="C696" t="inlineStr">
        <is>
          <t>P6</t>
        </is>
      </c>
      <c r="D696" t="inlineStr">
        <is>
          <t>포장</t>
        </is>
      </c>
      <c r="E696" t="inlineStr">
        <is>
          <t>PK-01</t>
        </is>
      </c>
      <c r="F696" t="n">
        <v>480</v>
      </c>
      <c r="G696" t="n">
        <v>27</v>
      </c>
      <c r="H696" t="inlineStr">
        <is>
          <t>라벨 교체</t>
        </is>
      </c>
      <c r="I696" t="n">
        <v>4.8</v>
      </c>
      <c r="J696" t="n">
        <v>5382</v>
      </c>
      <c r="K696" t="n">
        <v>5366</v>
      </c>
      <c r="L696" t="inlineStr">
        <is>
          <t>L-0720</t>
        </is>
      </c>
      <c r="M696">
        <f>F696-G696</f>
        <v/>
      </c>
      <c r="N696" s="2">
        <f>M696/F696</f>
        <v/>
      </c>
      <c r="O696" s="2">
        <f>I696*J696/60/M696</f>
        <v/>
      </c>
      <c r="P696" s="2">
        <f>K696/J696</f>
        <v/>
      </c>
      <c r="Q696" s="2">
        <f>N696*O696*P696</f>
        <v/>
      </c>
    </row>
    <row r="697">
      <c r="A697" t="inlineStr">
        <is>
          <t>2026-07-29</t>
        </is>
      </c>
      <c r="B697" t="inlineStr">
        <is>
          <t>야간</t>
        </is>
      </c>
      <c r="C697" t="inlineStr">
        <is>
          <t>P6</t>
        </is>
      </c>
      <c r="D697" t="inlineStr">
        <is>
          <t>포장</t>
        </is>
      </c>
      <c r="E697" t="inlineStr">
        <is>
          <t>PK-02</t>
        </is>
      </c>
      <c r="F697" t="n">
        <v>480</v>
      </c>
      <c r="G697" t="n">
        <v>5</v>
      </c>
      <c r="H697" t="inlineStr">
        <is>
          <t>라벨 교체</t>
        </is>
      </c>
      <c r="I697" t="n">
        <v>4.8</v>
      </c>
      <c r="J697" t="n">
        <v>5486</v>
      </c>
      <c r="K697" t="n">
        <v>5467</v>
      </c>
      <c r="L697" t="inlineStr">
        <is>
          <t>L-0720</t>
        </is>
      </c>
      <c r="M697">
        <f>F697-G697</f>
        <v/>
      </c>
      <c r="N697" s="2">
        <f>M697/F697</f>
        <v/>
      </c>
      <c r="O697" s="2">
        <f>I697*J697/60/M697</f>
        <v/>
      </c>
      <c r="P697" s="2">
        <f>K697/J697</f>
        <v/>
      </c>
      <c r="Q697" s="2">
        <f>N697*O697*P697</f>
        <v/>
      </c>
    </row>
    <row r="698">
      <c r="A698" t="inlineStr">
        <is>
          <t>2026-07-30</t>
        </is>
      </c>
      <c r="B698" t="inlineStr">
        <is>
          <t>주간</t>
        </is>
      </c>
      <c r="C698" t="inlineStr">
        <is>
          <t>P1</t>
        </is>
      </c>
      <c r="D698" t="inlineStr">
        <is>
          <t>원료혼합</t>
        </is>
      </c>
      <c r="E698" t="inlineStr">
        <is>
          <t>MX-01</t>
        </is>
      </c>
      <c r="F698" t="n">
        <v>480</v>
      </c>
      <c r="G698" t="n">
        <v>23</v>
      </c>
      <c r="H698" t="inlineStr">
        <is>
          <t>배합 확인</t>
        </is>
      </c>
      <c r="I698" t="n">
        <v>5</v>
      </c>
      <c r="J698" t="n">
        <v>5006</v>
      </c>
      <c r="K698" t="n">
        <v>4976</v>
      </c>
      <c r="L698" t="inlineStr">
        <is>
          <t>L-0720</t>
        </is>
      </c>
      <c r="M698">
        <f>F698-G698</f>
        <v/>
      </c>
      <c r="N698" s="2">
        <f>M698/F698</f>
        <v/>
      </c>
      <c r="O698" s="2">
        <f>I698*J698/60/M698</f>
        <v/>
      </c>
      <c r="P698" s="2">
        <f>K698/J698</f>
        <v/>
      </c>
      <c r="Q698" s="2">
        <f>N698*O698*P698</f>
        <v/>
      </c>
    </row>
    <row r="699">
      <c r="A699" t="inlineStr">
        <is>
          <t>2026-07-30</t>
        </is>
      </c>
      <c r="B699" t="inlineStr">
        <is>
          <t>주간</t>
        </is>
      </c>
      <c r="C699" t="inlineStr">
        <is>
          <t>P1</t>
        </is>
      </c>
      <c r="D699" t="inlineStr">
        <is>
          <t>원료혼합</t>
        </is>
      </c>
      <c r="E699" t="inlineStr">
        <is>
          <t>MX-02</t>
        </is>
      </c>
      <c r="F699" t="n">
        <v>480</v>
      </c>
      <c r="G699" t="n">
        <v>31</v>
      </c>
      <c r="H699" t="inlineStr">
        <is>
          <t>배합 확인</t>
        </is>
      </c>
      <c r="I699" t="n">
        <v>5</v>
      </c>
      <c r="J699" t="n">
        <v>5002</v>
      </c>
      <c r="K699" t="n">
        <v>4973</v>
      </c>
      <c r="L699" t="inlineStr">
        <is>
          <t>L-0720</t>
        </is>
      </c>
      <c r="M699">
        <f>F699-G699</f>
        <v/>
      </c>
      <c r="N699" s="2">
        <f>M699/F699</f>
        <v/>
      </c>
      <c r="O699" s="2">
        <f>I699*J699/60/M699</f>
        <v/>
      </c>
      <c r="P699" s="2">
        <f>K699/J699</f>
        <v/>
      </c>
      <c r="Q699" s="2">
        <f>N699*O699*P699</f>
        <v/>
      </c>
    </row>
    <row r="700">
      <c r="A700" t="inlineStr">
        <is>
          <t>2026-07-30</t>
        </is>
      </c>
      <c r="B700" t="inlineStr">
        <is>
          <t>주간</t>
        </is>
      </c>
      <c r="C700" t="inlineStr">
        <is>
          <t>P2</t>
        </is>
      </c>
      <c r="D700" t="inlineStr">
        <is>
          <t>성형</t>
        </is>
      </c>
      <c r="E700" t="inlineStr">
        <is>
          <t>PR-01</t>
        </is>
      </c>
      <c r="F700" t="n">
        <v>480</v>
      </c>
      <c r="G700" t="n">
        <v>33</v>
      </c>
      <c r="H700" t="inlineStr">
        <is>
          <t>금형 교체</t>
        </is>
      </c>
      <c r="I700" t="n">
        <v>6</v>
      </c>
      <c r="J700" t="n">
        <v>4067</v>
      </c>
      <c r="K700" t="n">
        <v>4015</v>
      </c>
      <c r="L700" t="inlineStr">
        <is>
          <t>L-0720</t>
        </is>
      </c>
      <c r="M700">
        <f>F700-G700</f>
        <v/>
      </c>
      <c r="N700" s="2">
        <f>M700/F700</f>
        <v/>
      </c>
      <c r="O700" s="2">
        <f>I700*J700/60/M700</f>
        <v/>
      </c>
      <c r="P700" s="2">
        <f>K700/J700</f>
        <v/>
      </c>
      <c r="Q700" s="2">
        <f>N700*O700*P700</f>
        <v/>
      </c>
    </row>
    <row r="701">
      <c r="A701" t="inlineStr">
        <is>
          <t>2026-07-30</t>
        </is>
      </c>
      <c r="B701" t="inlineStr">
        <is>
          <t>주간</t>
        </is>
      </c>
      <c r="C701" t="inlineStr">
        <is>
          <t>P2</t>
        </is>
      </c>
      <c r="D701" t="inlineStr">
        <is>
          <t>성형</t>
        </is>
      </c>
      <c r="E701" t="inlineStr">
        <is>
          <t>PR-02</t>
        </is>
      </c>
      <c r="F701" t="n">
        <v>480</v>
      </c>
      <c r="G701" t="n">
        <v>13</v>
      </c>
      <c r="H701" t="inlineStr">
        <is>
          <t>분말 공급 지연</t>
        </is>
      </c>
      <c r="I701" t="n">
        <v>6</v>
      </c>
      <c r="J701" t="n">
        <v>4237</v>
      </c>
      <c r="K701" t="n">
        <v>4188</v>
      </c>
      <c r="L701" t="inlineStr">
        <is>
          <t>L-0720</t>
        </is>
      </c>
      <c r="M701">
        <f>F701-G701</f>
        <v/>
      </c>
      <c r="N701" s="2">
        <f>M701/F701</f>
        <v/>
      </c>
      <c r="O701" s="2">
        <f>I701*J701/60/M701</f>
        <v/>
      </c>
      <c r="P701" s="2">
        <f>K701/J701</f>
        <v/>
      </c>
      <c r="Q701" s="2">
        <f>N701*O701*P701</f>
        <v/>
      </c>
    </row>
    <row r="702">
      <c r="A702" t="inlineStr">
        <is>
          <t>2026-07-30</t>
        </is>
      </c>
      <c r="B702" t="inlineStr">
        <is>
          <t>주간</t>
        </is>
      </c>
      <c r="C702" t="inlineStr">
        <is>
          <t>P3</t>
        </is>
      </c>
      <c r="D702" t="inlineStr">
        <is>
          <t>소결</t>
        </is>
      </c>
      <c r="E702" t="inlineStr">
        <is>
          <t>SF-01</t>
        </is>
      </c>
      <c r="F702" t="n">
        <v>480</v>
      </c>
      <c r="G702" t="n">
        <v>36</v>
      </c>
      <c r="H702" t="inlineStr">
        <is>
          <t>승온 대기</t>
        </is>
      </c>
      <c r="I702" t="n">
        <v>6.5</v>
      </c>
      <c r="J702" t="n">
        <v>3896</v>
      </c>
      <c r="K702" t="n">
        <v>3833</v>
      </c>
      <c r="L702" t="inlineStr">
        <is>
          <t>L-0720</t>
        </is>
      </c>
      <c r="M702">
        <f>F702-G702</f>
        <v/>
      </c>
      <c r="N702" s="2">
        <f>M702/F702</f>
        <v/>
      </c>
      <c r="O702" s="2">
        <f>I702*J702/60/M702</f>
        <v/>
      </c>
      <c r="P702" s="2">
        <f>K702/J702</f>
        <v/>
      </c>
      <c r="Q702" s="2">
        <f>N702*O702*P702</f>
        <v/>
      </c>
    </row>
    <row r="703">
      <c r="A703" t="inlineStr">
        <is>
          <t>2026-07-30</t>
        </is>
      </c>
      <c r="B703" t="inlineStr">
        <is>
          <t>주간</t>
        </is>
      </c>
      <c r="C703" t="inlineStr">
        <is>
          <t>P3</t>
        </is>
      </c>
      <c r="D703" t="inlineStr">
        <is>
          <t>소결</t>
        </is>
      </c>
      <c r="E703" t="inlineStr">
        <is>
          <t>SF-02</t>
        </is>
      </c>
      <c r="F703" t="n">
        <v>480</v>
      </c>
      <c r="G703" t="n">
        <v>23</v>
      </c>
      <c r="H703" t="inlineStr">
        <is>
          <t>장입 대기</t>
        </is>
      </c>
      <c r="I703" t="n">
        <v>6.5</v>
      </c>
      <c r="J703" t="n">
        <v>3892</v>
      </c>
      <c r="K703" t="n">
        <v>3842</v>
      </c>
      <c r="L703" t="inlineStr">
        <is>
          <t>L-0720</t>
        </is>
      </c>
      <c r="M703">
        <f>F703-G703</f>
        <v/>
      </c>
      <c r="N703" s="2">
        <f>M703/F703</f>
        <v/>
      </c>
      <c r="O703" s="2">
        <f>I703*J703/60/M703</f>
        <v/>
      </c>
      <c r="P703" s="2">
        <f>K703/J703</f>
        <v/>
      </c>
      <c r="Q703" s="2">
        <f>N703*O703*P703</f>
        <v/>
      </c>
    </row>
    <row r="704">
      <c r="A704" t="inlineStr">
        <is>
          <t>2026-07-30</t>
        </is>
      </c>
      <c r="B704" t="inlineStr">
        <is>
          <t>주간</t>
        </is>
      </c>
      <c r="C704" t="inlineStr">
        <is>
          <t>P4</t>
        </is>
      </c>
      <c r="D704" t="inlineStr">
        <is>
          <t>연삭</t>
        </is>
      </c>
      <c r="E704" t="inlineStr">
        <is>
          <t>GR-01</t>
        </is>
      </c>
      <c r="F704" t="n">
        <v>480</v>
      </c>
      <c r="G704" t="n">
        <v>37</v>
      </c>
      <c r="H704" t="inlineStr">
        <is>
          <t>공구 교체</t>
        </is>
      </c>
      <c r="I704" t="n">
        <v>6.2</v>
      </c>
      <c r="J704" t="n">
        <v>3956</v>
      </c>
      <c r="K704" t="n">
        <v>3913</v>
      </c>
      <c r="L704" t="inlineStr">
        <is>
          <t>L-0720</t>
        </is>
      </c>
      <c r="M704">
        <f>F704-G704</f>
        <v/>
      </c>
      <c r="N704" s="2">
        <f>M704/F704</f>
        <v/>
      </c>
      <c r="O704" s="2">
        <f>I704*J704/60/M704</f>
        <v/>
      </c>
      <c r="P704" s="2">
        <f>K704/J704</f>
        <v/>
      </c>
      <c r="Q704" s="2">
        <f>N704*O704*P704</f>
        <v/>
      </c>
    </row>
    <row r="705">
      <c r="A705" t="inlineStr">
        <is>
          <t>2026-07-30</t>
        </is>
      </c>
      <c r="B705" t="inlineStr">
        <is>
          <t>주간</t>
        </is>
      </c>
      <c r="C705" t="inlineStr">
        <is>
          <t>P4</t>
        </is>
      </c>
      <c r="D705" t="inlineStr">
        <is>
          <t>연삭</t>
        </is>
      </c>
      <c r="E705" t="inlineStr">
        <is>
          <t>GR-02</t>
        </is>
      </c>
      <c r="F705" t="n">
        <v>480</v>
      </c>
      <c r="G705" t="n">
        <v>40</v>
      </c>
      <c r="H705" t="inlineStr">
        <is>
          <t>드레싱</t>
        </is>
      </c>
      <c r="I705" t="n">
        <v>6.2</v>
      </c>
      <c r="J705" t="n">
        <v>4010</v>
      </c>
      <c r="K705" t="n">
        <v>3968</v>
      </c>
      <c r="L705" t="inlineStr">
        <is>
          <t>L-0720</t>
        </is>
      </c>
      <c r="M705">
        <f>F705-G705</f>
        <v/>
      </c>
      <c r="N705" s="2">
        <f>M705/F705</f>
        <v/>
      </c>
      <c r="O705" s="2">
        <f>I705*J705/60/M705</f>
        <v/>
      </c>
      <c r="P705" s="2">
        <f>K705/J705</f>
        <v/>
      </c>
      <c r="Q705" s="2">
        <f>N705*O705*P705</f>
        <v/>
      </c>
    </row>
    <row r="706">
      <c r="A706" t="inlineStr">
        <is>
          <t>2026-07-30</t>
        </is>
      </c>
      <c r="B706" t="inlineStr">
        <is>
          <t>주간</t>
        </is>
      </c>
      <c r="C706" t="inlineStr">
        <is>
          <t>P5</t>
        </is>
      </c>
      <c r="D706" t="inlineStr">
        <is>
          <t>검사</t>
        </is>
      </c>
      <c r="E706" t="inlineStr">
        <is>
          <t>IN-01</t>
        </is>
      </c>
      <c r="F706" t="n">
        <v>480</v>
      </c>
      <c r="G706" t="n">
        <v>28</v>
      </c>
      <c r="H706" t="inlineStr">
        <is>
          <t>측정기 교정</t>
        </is>
      </c>
      <c r="I706" t="n">
        <v>5.5</v>
      </c>
      <c r="J706" t="n">
        <v>4628</v>
      </c>
      <c r="K706" t="n">
        <v>4612</v>
      </c>
      <c r="L706" t="inlineStr">
        <is>
          <t>L-0720</t>
        </is>
      </c>
      <c r="M706">
        <f>F706-G706</f>
        <v/>
      </c>
      <c r="N706" s="2">
        <f>M706/F706</f>
        <v/>
      </c>
      <c r="O706" s="2">
        <f>I706*J706/60/M706</f>
        <v/>
      </c>
      <c r="P706" s="2">
        <f>K706/J706</f>
        <v/>
      </c>
      <c r="Q706" s="2">
        <f>N706*O706*P706</f>
        <v/>
      </c>
    </row>
    <row r="707">
      <c r="A707" t="inlineStr">
        <is>
          <t>2026-07-30</t>
        </is>
      </c>
      <c r="B707" t="inlineStr">
        <is>
          <t>주간</t>
        </is>
      </c>
      <c r="C707" t="inlineStr">
        <is>
          <t>P5</t>
        </is>
      </c>
      <c r="D707" t="inlineStr">
        <is>
          <t>검사</t>
        </is>
      </c>
      <c r="E707" t="inlineStr">
        <is>
          <t>IN-02</t>
        </is>
      </c>
      <c r="F707" t="n">
        <v>480</v>
      </c>
      <c r="G707" t="n">
        <v>23</v>
      </c>
      <c r="H707" t="inlineStr">
        <is>
          <t>측정기 교정</t>
        </is>
      </c>
      <c r="I707" t="n">
        <v>5.5</v>
      </c>
      <c r="J707" t="n">
        <v>4778</v>
      </c>
      <c r="K707" t="n">
        <v>4763</v>
      </c>
      <c r="L707" t="inlineStr">
        <is>
          <t>L-0720</t>
        </is>
      </c>
      <c r="M707">
        <f>F707-G707</f>
        <v/>
      </c>
      <c r="N707" s="2">
        <f>M707/F707</f>
        <v/>
      </c>
      <c r="O707" s="2">
        <f>I707*J707/60/M707</f>
        <v/>
      </c>
      <c r="P707" s="2">
        <f>K707/J707</f>
        <v/>
      </c>
      <c r="Q707" s="2">
        <f>N707*O707*P707</f>
        <v/>
      </c>
    </row>
    <row r="708">
      <c r="A708" t="inlineStr">
        <is>
          <t>2026-07-30</t>
        </is>
      </c>
      <c r="B708" t="inlineStr">
        <is>
          <t>주간</t>
        </is>
      </c>
      <c r="C708" t="inlineStr">
        <is>
          <t>P6</t>
        </is>
      </c>
      <c r="D708" t="inlineStr">
        <is>
          <t>포장</t>
        </is>
      </c>
      <c r="E708" t="inlineStr">
        <is>
          <t>PK-01</t>
        </is>
      </c>
      <c r="F708" t="n">
        <v>480</v>
      </c>
      <c r="G708" t="n">
        <v>42</v>
      </c>
      <c r="H708" t="inlineStr">
        <is>
          <t>자재 대기</t>
        </is>
      </c>
      <c r="I708" t="n">
        <v>4.8</v>
      </c>
      <c r="J708" t="n">
        <v>5262</v>
      </c>
      <c r="K708" t="n">
        <v>5251</v>
      </c>
      <c r="L708" t="inlineStr">
        <is>
          <t>L-0720</t>
        </is>
      </c>
      <c r="M708">
        <f>F708-G708</f>
        <v/>
      </c>
      <c r="N708" s="2">
        <f>M708/F708</f>
        <v/>
      </c>
      <c r="O708" s="2">
        <f>I708*J708/60/M708</f>
        <v/>
      </c>
      <c r="P708" s="2">
        <f>K708/J708</f>
        <v/>
      </c>
      <c r="Q708" s="2">
        <f>N708*O708*P708</f>
        <v/>
      </c>
    </row>
    <row r="709">
      <c r="A709" t="inlineStr">
        <is>
          <t>2026-07-30</t>
        </is>
      </c>
      <c r="B709" t="inlineStr">
        <is>
          <t>주간</t>
        </is>
      </c>
      <c r="C709" t="inlineStr">
        <is>
          <t>P6</t>
        </is>
      </c>
      <c r="D709" t="inlineStr">
        <is>
          <t>포장</t>
        </is>
      </c>
      <c r="E709" t="inlineStr">
        <is>
          <t>PK-02</t>
        </is>
      </c>
      <c r="F709" t="n">
        <v>480</v>
      </c>
      <c r="G709" t="n">
        <v>61</v>
      </c>
      <c r="H709" t="inlineStr">
        <is>
          <t>라벨 교체</t>
        </is>
      </c>
      <c r="I709" t="n">
        <v>4.8</v>
      </c>
      <c r="J709" t="n">
        <v>4772</v>
      </c>
      <c r="K709" t="n">
        <v>4762</v>
      </c>
      <c r="L709" t="inlineStr">
        <is>
          <t>L-0720</t>
        </is>
      </c>
      <c r="M709">
        <f>F709-G709</f>
        <v/>
      </c>
      <c r="N709" s="2">
        <f>M709/F709</f>
        <v/>
      </c>
      <c r="O709" s="2">
        <f>I709*J709/60/M709</f>
        <v/>
      </c>
      <c r="P709" s="2">
        <f>K709/J709</f>
        <v/>
      </c>
      <c r="Q709" s="2">
        <f>N709*O709*P709</f>
        <v/>
      </c>
    </row>
    <row r="710">
      <c r="A710" t="inlineStr">
        <is>
          <t>2026-07-30</t>
        </is>
      </c>
      <c r="B710" t="inlineStr">
        <is>
          <t>야간</t>
        </is>
      </c>
      <c r="C710" t="inlineStr">
        <is>
          <t>P1</t>
        </is>
      </c>
      <c r="D710" t="inlineStr">
        <is>
          <t>원료혼합</t>
        </is>
      </c>
      <c r="E710" t="inlineStr">
        <is>
          <t>MX-01</t>
        </is>
      </c>
      <c r="F710" t="n">
        <v>480</v>
      </c>
      <c r="G710" t="n">
        <v>12</v>
      </c>
      <c r="H710" t="inlineStr">
        <is>
          <t>원료 대기</t>
        </is>
      </c>
      <c r="I710" t="n">
        <v>5</v>
      </c>
      <c r="J710" t="n">
        <v>5251</v>
      </c>
      <c r="K710" t="n">
        <v>5207</v>
      </c>
      <c r="L710" t="inlineStr">
        <is>
          <t>L-0720</t>
        </is>
      </c>
      <c r="M710">
        <f>F710-G710</f>
        <v/>
      </c>
      <c r="N710" s="2">
        <f>M710/F710</f>
        <v/>
      </c>
      <c r="O710" s="2">
        <f>I710*J710/60/M710</f>
        <v/>
      </c>
      <c r="P710" s="2">
        <f>K710/J710</f>
        <v/>
      </c>
      <c r="Q710" s="2">
        <f>N710*O710*P710</f>
        <v/>
      </c>
    </row>
    <row r="711">
      <c r="A711" t="inlineStr">
        <is>
          <t>2026-07-30</t>
        </is>
      </c>
      <c r="B711" t="inlineStr">
        <is>
          <t>야간</t>
        </is>
      </c>
      <c r="C711" t="inlineStr">
        <is>
          <t>P1</t>
        </is>
      </c>
      <c r="D711" t="inlineStr">
        <is>
          <t>원료혼합</t>
        </is>
      </c>
      <c r="E711" t="inlineStr">
        <is>
          <t>MX-02</t>
        </is>
      </c>
      <c r="F711" t="n">
        <v>480</v>
      </c>
      <c r="G711" t="n">
        <v>17</v>
      </c>
      <c r="H711" t="inlineStr">
        <is>
          <t>청소</t>
        </is>
      </c>
      <c r="I711" t="n">
        <v>5</v>
      </c>
      <c r="J711" t="n">
        <v>5136</v>
      </c>
      <c r="K711" t="n">
        <v>5102</v>
      </c>
      <c r="L711" t="inlineStr">
        <is>
          <t>L-0720</t>
        </is>
      </c>
      <c r="M711">
        <f>F711-G711</f>
        <v/>
      </c>
      <c r="N711" s="2">
        <f>M711/F711</f>
        <v/>
      </c>
      <c r="O711" s="2">
        <f>I711*J711/60/M711</f>
        <v/>
      </c>
      <c r="P711" s="2">
        <f>K711/J711</f>
        <v/>
      </c>
      <c r="Q711" s="2">
        <f>N711*O711*P711</f>
        <v/>
      </c>
    </row>
    <row r="712">
      <c r="A712" t="inlineStr">
        <is>
          <t>2026-07-30</t>
        </is>
      </c>
      <c r="B712" t="inlineStr">
        <is>
          <t>야간</t>
        </is>
      </c>
      <c r="C712" t="inlineStr">
        <is>
          <t>P2</t>
        </is>
      </c>
      <c r="D712" t="inlineStr">
        <is>
          <t>성형</t>
        </is>
      </c>
      <c r="E712" t="inlineStr">
        <is>
          <t>PR-01</t>
        </is>
      </c>
      <c r="F712" t="n">
        <v>480</v>
      </c>
      <c r="G712" t="n">
        <v>24</v>
      </c>
      <c r="H712" t="inlineStr">
        <is>
          <t>금형 교체</t>
        </is>
      </c>
      <c r="I712" t="n">
        <v>6</v>
      </c>
      <c r="J712" t="n">
        <v>4275</v>
      </c>
      <c r="K712" t="n">
        <v>4227</v>
      </c>
      <c r="L712" t="inlineStr">
        <is>
          <t>L-0720</t>
        </is>
      </c>
      <c r="M712">
        <f>F712-G712</f>
        <v/>
      </c>
      <c r="N712" s="2">
        <f>M712/F712</f>
        <v/>
      </c>
      <c r="O712" s="2">
        <f>I712*J712/60/M712</f>
        <v/>
      </c>
      <c r="P712" s="2">
        <f>K712/J712</f>
        <v/>
      </c>
      <c r="Q712" s="2">
        <f>N712*O712*P712</f>
        <v/>
      </c>
    </row>
    <row r="713">
      <c r="A713" t="inlineStr">
        <is>
          <t>2026-07-30</t>
        </is>
      </c>
      <c r="B713" t="inlineStr">
        <is>
          <t>야간</t>
        </is>
      </c>
      <c r="C713" t="inlineStr">
        <is>
          <t>P2</t>
        </is>
      </c>
      <c r="D713" t="inlineStr">
        <is>
          <t>성형</t>
        </is>
      </c>
      <c r="E713" t="inlineStr">
        <is>
          <t>PR-02</t>
        </is>
      </c>
      <c r="F713" t="n">
        <v>480</v>
      </c>
      <c r="G713" t="n">
        <v>46</v>
      </c>
      <c r="H713" t="inlineStr">
        <is>
          <t>금형 교체</t>
        </is>
      </c>
      <c r="I713" t="n">
        <v>6</v>
      </c>
      <c r="J713" t="n">
        <v>4024</v>
      </c>
      <c r="K713" t="n">
        <v>3970</v>
      </c>
      <c r="L713" t="inlineStr">
        <is>
          <t>L-0720</t>
        </is>
      </c>
      <c r="M713">
        <f>F713-G713</f>
        <v/>
      </c>
      <c r="N713" s="2">
        <f>M713/F713</f>
        <v/>
      </c>
      <c r="O713" s="2">
        <f>I713*J713/60/M713</f>
        <v/>
      </c>
      <c r="P713" s="2">
        <f>K713/J713</f>
        <v/>
      </c>
      <c r="Q713" s="2">
        <f>N713*O713*P713</f>
        <v/>
      </c>
    </row>
    <row r="714">
      <c r="A714" t="inlineStr">
        <is>
          <t>2026-07-30</t>
        </is>
      </c>
      <c r="B714" t="inlineStr">
        <is>
          <t>야간</t>
        </is>
      </c>
      <c r="C714" t="inlineStr">
        <is>
          <t>P3</t>
        </is>
      </c>
      <c r="D714" t="inlineStr">
        <is>
          <t>소결</t>
        </is>
      </c>
      <c r="E714" t="inlineStr">
        <is>
          <t>SF-01</t>
        </is>
      </c>
      <c r="F714" t="n">
        <v>480</v>
      </c>
      <c r="G714" t="n">
        <v>16</v>
      </c>
      <c r="H714" t="inlineStr">
        <is>
          <t>온도 이상 정지</t>
        </is>
      </c>
      <c r="I714" t="n">
        <v>6.5</v>
      </c>
      <c r="J714" t="n">
        <v>4090</v>
      </c>
      <c r="K714" t="n">
        <v>4011</v>
      </c>
      <c r="L714" t="inlineStr">
        <is>
          <t>L-0720</t>
        </is>
      </c>
      <c r="M714">
        <f>F714-G714</f>
        <v/>
      </c>
      <c r="N714" s="2">
        <f>M714/F714</f>
        <v/>
      </c>
      <c r="O714" s="2">
        <f>I714*J714/60/M714</f>
        <v/>
      </c>
      <c r="P714" s="2">
        <f>K714/J714</f>
        <v/>
      </c>
      <c r="Q714" s="2">
        <f>N714*O714*P714</f>
        <v/>
      </c>
    </row>
    <row r="715">
      <c r="A715" t="inlineStr">
        <is>
          <t>2026-07-30</t>
        </is>
      </c>
      <c r="B715" t="inlineStr">
        <is>
          <t>야간</t>
        </is>
      </c>
      <c r="C715" t="inlineStr">
        <is>
          <t>P3</t>
        </is>
      </c>
      <c r="D715" t="inlineStr">
        <is>
          <t>소결</t>
        </is>
      </c>
      <c r="E715" t="inlineStr">
        <is>
          <t>SF-02</t>
        </is>
      </c>
      <c r="F715" t="n">
        <v>480</v>
      </c>
      <c r="G715" t="n">
        <v>43</v>
      </c>
      <c r="H715" t="inlineStr">
        <is>
          <t>온도 이상 정지</t>
        </is>
      </c>
      <c r="I715" t="n">
        <v>6.5</v>
      </c>
      <c r="J715" t="n">
        <v>3870</v>
      </c>
      <c r="K715" t="n">
        <v>3789</v>
      </c>
      <c r="L715" t="inlineStr">
        <is>
          <t>L-0720</t>
        </is>
      </c>
      <c r="M715">
        <f>F715-G715</f>
        <v/>
      </c>
      <c r="N715" s="2">
        <f>M715/F715</f>
        <v/>
      </c>
      <c r="O715" s="2">
        <f>I715*J715/60/M715</f>
        <v/>
      </c>
      <c r="P715" s="2">
        <f>K715/J715</f>
        <v/>
      </c>
      <c r="Q715" s="2">
        <f>N715*O715*P715</f>
        <v/>
      </c>
    </row>
    <row r="716">
      <c r="A716" t="inlineStr">
        <is>
          <t>2026-07-30</t>
        </is>
      </c>
      <c r="B716" t="inlineStr">
        <is>
          <t>야간</t>
        </is>
      </c>
      <c r="C716" t="inlineStr">
        <is>
          <t>P4</t>
        </is>
      </c>
      <c r="D716" t="inlineStr">
        <is>
          <t>연삭</t>
        </is>
      </c>
      <c r="E716" t="inlineStr">
        <is>
          <t>GR-01</t>
        </is>
      </c>
      <c r="F716" t="n">
        <v>480</v>
      </c>
      <c r="G716" t="n">
        <v>70</v>
      </c>
      <c r="H716" t="inlineStr">
        <is>
          <t>드레싱</t>
        </is>
      </c>
      <c r="I716" t="n">
        <v>6.2</v>
      </c>
      <c r="J716" t="n">
        <v>3622</v>
      </c>
      <c r="K716" t="n">
        <v>3571</v>
      </c>
      <c r="L716" t="inlineStr">
        <is>
          <t>L-0720</t>
        </is>
      </c>
      <c r="M716">
        <f>F716-G716</f>
        <v/>
      </c>
      <c r="N716" s="2">
        <f>M716/F716</f>
        <v/>
      </c>
      <c r="O716" s="2">
        <f>I716*J716/60/M716</f>
        <v/>
      </c>
      <c r="P716" s="2">
        <f>K716/J716</f>
        <v/>
      </c>
      <c r="Q716" s="2">
        <f>N716*O716*P716</f>
        <v/>
      </c>
    </row>
    <row r="717">
      <c r="A717" t="inlineStr">
        <is>
          <t>2026-07-30</t>
        </is>
      </c>
      <c r="B717" t="inlineStr">
        <is>
          <t>야간</t>
        </is>
      </c>
      <c r="C717" t="inlineStr">
        <is>
          <t>P4</t>
        </is>
      </c>
      <c r="D717" t="inlineStr">
        <is>
          <t>연삭</t>
        </is>
      </c>
      <c r="E717" t="inlineStr">
        <is>
          <t>GR-02</t>
        </is>
      </c>
      <c r="F717" t="n">
        <v>480</v>
      </c>
      <c r="G717" t="n">
        <v>48</v>
      </c>
      <c r="H717" t="inlineStr">
        <is>
          <t>공구 교체</t>
        </is>
      </c>
      <c r="I717" t="n">
        <v>6.2</v>
      </c>
      <c r="J717" t="n">
        <v>3618</v>
      </c>
      <c r="K717" t="n">
        <v>3576</v>
      </c>
      <c r="L717" t="inlineStr">
        <is>
          <t>L-0720</t>
        </is>
      </c>
      <c r="M717">
        <f>F717-G717</f>
        <v/>
      </c>
      <c r="N717" s="2">
        <f>M717/F717</f>
        <v/>
      </c>
      <c r="O717" s="2">
        <f>I717*J717/60/M717</f>
        <v/>
      </c>
      <c r="P717" s="2">
        <f>K717/J717</f>
        <v/>
      </c>
      <c r="Q717" s="2">
        <f>N717*O717*P717</f>
        <v/>
      </c>
    </row>
    <row r="718">
      <c r="A718" t="inlineStr">
        <is>
          <t>2026-07-30</t>
        </is>
      </c>
      <c r="B718" t="inlineStr">
        <is>
          <t>야간</t>
        </is>
      </c>
      <c r="C718" t="inlineStr">
        <is>
          <t>P5</t>
        </is>
      </c>
      <c r="D718" t="inlineStr">
        <is>
          <t>검사</t>
        </is>
      </c>
      <c r="E718" t="inlineStr">
        <is>
          <t>IN-01</t>
        </is>
      </c>
      <c r="F718" t="n">
        <v>480</v>
      </c>
      <c r="G718" t="n">
        <v>29</v>
      </c>
      <c r="H718" t="inlineStr">
        <is>
          <t>샘플 재검</t>
        </is>
      </c>
      <c r="I718" t="n">
        <v>5.5</v>
      </c>
      <c r="J718" t="n">
        <v>4757</v>
      </c>
      <c r="K718" t="n">
        <v>4741</v>
      </c>
      <c r="L718" t="inlineStr">
        <is>
          <t>L-0720</t>
        </is>
      </c>
      <c r="M718">
        <f>F718-G718</f>
        <v/>
      </c>
      <c r="N718" s="2">
        <f>M718/F718</f>
        <v/>
      </c>
      <c r="O718" s="2">
        <f>I718*J718/60/M718</f>
        <v/>
      </c>
      <c r="P718" s="2">
        <f>K718/J718</f>
        <v/>
      </c>
      <c r="Q718" s="2">
        <f>N718*O718*P718</f>
        <v/>
      </c>
    </row>
    <row r="719">
      <c r="A719" t="inlineStr">
        <is>
          <t>2026-07-30</t>
        </is>
      </c>
      <c r="B719" t="inlineStr">
        <is>
          <t>야간</t>
        </is>
      </c>
      <c r="C719" t="inlineStr">
        <is>
          <t>P5</t>
        </is>
      </c>
      <c r="D719" t="inlineStr">
        <is>
          <t>검사</t>
        </is>
      </c>
      <c r="E719" t="inlineStr">
        <is>
          <t>IN-02</t>
        </is>
      </c>
      <c r="F719" t="n">
        <v>480</v>
      </c>
      <c r="G719" t="n">
        <v>20</v>
      </c>
      <c r="H719" t="inlineStr">
        <is>
          <t>샘플 재검</t>
        </is>
      </c>
      <c r="I719" t="n">
        <v>5.5</v>
      </c>
      <c r="J719" t="n">
        <v>4654</v>
      </c>
      <c r="K719" t="n">
        <v>4635</v>
      </c>
      <c r="L719" t="inlineStr">
        <is>
          <t>L-0720</t>
        </is>
      </c>
      <c r="M719">
        <f>F719-G719</f>
        <v/>
      </c>
      <c r="N719" s="2">
        <f>M719/F719</f>
        <v/>
      </c>
      <c r="O719" s="2">
        <f>I719*J719/60/M719</f>
        <v/>
      </c>
      <c r="P719" s="2">
        <f>K719/J719</f>
        <v/>
      </c>
      <c r="Q719" s="2">
        <f>N719*O719*P719</f>
        <v/>
      </c>
    </row>
    <row r="720">
      <c r="A720" t="inlineStr">
        <is>
          <t>2026-07-30</t>
        </is>
      </c>
      <c r="B720" t="inlineStr">
        <is>
          <t>야간</t>
        </is>
      </c>
      <c r="C720" t="inlineStr">
        <is>
          <t>P6</t>
        </is>
      </c>
      <c r="D720" t="inlineStr">
        <is>
          <t>포장</t>
        </is>
      </c>
      <c r="E720" t="inlineStr">
        <is>
          <t>PK-01</t>
        </is>
      </c>
      <c r="F720" t="n">
        <v>480</v>
      </c>
      <c r="G720" t="n">
        <v>26</v>
      </c>
      <c r="H720" t="inlineStr">
        <is>
          <t>자재 대기</t>
        </is>
      </c>
      <c r="I720" t="n">
        <v>4.8</v>
      </c>
      <c r="J720" t="n">
        <v>5234</v>
      </c>
      <c r="K720" t="n">
        <v>5219</v>
      </c>
      <c r="L720" t="inlineStr">
        <is>
          <t>L-0720</t>
        </is>
      </c>
      <c r="M720">
        <f>F720-G720</f>
        <v/>
      </c>
      <c r="N720" s="2">
        <f>M720/F720</f>
        <v/>
      </c>
      <c r="O720" s="2">
        <f>I720*J720/60/M720</f>
        <v/>
      </c>
      <c r="P720" s="2">
        <f>K720/J720</f>
        <v/>
      </c>
      <c r="Q720" s="2">
        <f>N720*O720*P720</f>
        <v/>
      </c>
    </row>
    <row r="721">
      <c r="A721" t="inlineStr">
        <is>
          <t>2026-07-30</t>
        </is>
      </c>
      <c r="B721" t="inlineStr">
        <is>
          <t>야간</t>
        </is>
      </c>
      <c r="C721" t="inlineStr">
        <is>
          <t>P6</t>
        </is>
      </c>
      <c r="D721" t="inlineStr">
        <is>
          <t>포장</t>
        </is>
      </c>
      <c r="E721" t="inlineStr">
        <is>
          <t>PK-02</t>
        </is>
      </c>
      <c r="F721" t="n">
        <v>480</v>
      </c>
      <c r="G721" t="n">
        <v>24</v>
      </c>
      <c r="H721" t="inlineStr">
        <is>
          <t>라벨 교체</t>
        </is>
      </c>
      <c r="I721" t="n">
        <v>4.8</v>
      </c>
      <c r="J721" t="n">
        <v>5227</v>
      </c>
      <c r="K721" t="n">
        <v>5210</v>
      </c>
      <c r="L721" t="inlineStr">
        <is>
          <t>L-0720</t>
        </is>
      </c>
      <c r="M721">
        <f>F721-G721</f>
        <v/>
      </c>
      <c r="N721" s="2">
        <f>M721/F721</f>
        <v/>
      </c>
      <c r="O721" s="2">
        <f>I721*J721/60/M721</f>
        <v/>
      </c>
      <c r="P721" s="2">
        <f>K721/J721</f>
        <v/>
      </c>
      <c r="Q721" s="2">
        <f>N721*O721*P721</f>
        <v/>
      </c>
    </row>
    <row r="722">
      <c r="A722" t="inlineStr">
        <is>
          <t>2026-07-31</t>
        </is>
      </c>
      <c r="B722" t="inlineStr">
        <is>
          <t>주간</t>
        </is>
      </c>
      <c r="C722" t="inlineStr">
        <is>
          <t>P1</t>
        </is>
      </c>
      <c r="D722" t="inlineStr">
        <is>
          <t>원료혼합</t>
        </is>
      </c>
      <c r="E722" t="inlineStr">
        <is>
          <t>MX-01</t>
        </is>
      </c>
      <c r="F722" t="n">
        <v>480</v>
      </c>
      <c r="G722" t="n">
        <v>27</v>
      </c>
      <c r="H722" t="inlineStr">
        <is>
          <t>청소</t>
        </is>
      </c>
      <c r="I722" t="n">
        <v>5</v>
      </c>
      <c r="J722" t="n">
        <v>5075</v>
      </c>
      <c r="K722" t="n">
        <v>5046</v>
      </c>
      <c r="L722" t="inlineStr">
        <is>
          <t>L-0720</t>
        </is>
      </c>
      <c r="M722">
        <f>F722-G722</f>
        <v/>
      </c>
      <c r="N722" s="2">
        <f>M722/F722</f>
        <v/>
      </c>
      <c r="O722" s="2">
        <f>I722*J722/60/M722</f>
        <v/>
      </c>
      <c r="P722" s="2">
        <f>K722/J722</f>
        <v/>
      </c>
      <c r="Q722" s="2">
        <f>N722*O722*P722</f>
        <v/>
      </c>
    </row>
    <row r="723">
      <c r="A723" t="inlineStr">
        <is>
          <t>2026-07-31</t>
        </is>
      </c>
      <c r="B723" t="inlineStr">
        <is>
          <t>주간</t>
        </is>
      </c>
      <c r="C723" t="inlineStr">
        <is>
          <t>P1</t>
        </is>
      </c>
      <c r="D723" t="inlineStr">
        <is>
          <t>원료혼합</t>
        </is>
      </c>
      <c r="E723" t="inlineStr">
        <is>
          <t>MX-02</t>
        </is>
      </c>
      <c r="F723" t="n">
        <v>480</v>
      </c>
      <c r="G723" t="n">
        <v>17</v>
      </c>
      <c r="H723" t="inlineStr">
        <is>
          <t>원료 대기</t>
        </is>
      </c>
      <c r="I723" t="n">
        <v>5</v>
      </c>
      <c r="J723" t="n">
        <v>5258</v>
      </c>
      <c r="K723" t="n">
        <v>5230</v>
      </c>
      <c r="L723" t="inlineStr">
        <is>
          <t>L-0720</t>
        </is>
      </c>
      <c r="M723">
        <f>F723-G723</f>
        <v/>
      </c>
      <c r="N723" s="2">
        <f>M723/F723</f>
        <v/>
      </c>
      <c r="O723" s="2">
        <f>I723*J723/60/M723</f>
        <v/>
      </c>
      <c r="P723" s="2">
        <f>K723/J723</f>
        <v/>
      </c>
      <c r="Q723" s="2">
        <f>N723*O723*P723</f>
        <v/>
      </c>
    </row>
    <row r="724">
      <c r="A724" t="inlineStr">
        <is>
          <t>2026-07-31</t>
        </is>
      </c>
      <c r="B724" t="inlineStr">
        <is>
          <t>주간</t>
        </is>
      </c>
      <c r="C724" t="inlineStr">
        <is>
          <t>P2</t>
        </is>
      </c>
      <c r="D724" t="inlineStr">
        <is>
          <t>성형</t>
        </is>
      </c>
      <c r="E724" t="inlineStr">
        <is>
          <t>PR-01</t>
        </is>
      </c>
      <c r="F724" t="n">
        <v>480</v>
      </c>
      <c r="G724" t="n">
        <v>3</v>
      </c>
      <c r="H724" t="inlineStr">
        <is>
          <t>금형 교체</t>
        </is>
      </c>
      <c r="I724" t="n">
        <v>6</v>
      </c>
      <c r="J724" t="n">
        <v>4472</v>
      </c>
      <c r="K724" t="n">
        <v>4408</v>
      </c>
      <c r="L724" t="inlineStr">
        <is>
          <t>L-0720</t>
        </is>
      </c>
      <c r="M724">
        <f>F724-G724</f>
        <v/>
      </c>
      <c r="N724" s="2">
        <f>M724/F724</f>
        <v/>
      </c>
      <c r="O724" s="2">
        <f>I724*J724/60/M724</f>
        <v/>
      </c>
      <c r="P724" s="2">
        <f>K724/J724</f>
        <v/>
      </c>
      <c r="Q724" s="2">
        <f>N724*O724*P724</f>
        <v/>
      </c>
    </row>
    <row r="725">
      <c r="A725" t="inlineStr">
        <is>
          <t>2026-07-31</t>
        </is>
      </c>
      <c r="B725" t="inlineStr">
        <is>
          <t>주간</t>
        </is>
      </c>
      <c r="C725" t="inlineStr">
        <is>
          <t>P2</t>
        </is>
      </c>
      <c r="D725" t="inlineStr">
        <is>
          <t>성형</t>
        </is>
      </c>
      <c r="E725" t="inlineStr">
        <is>
          <t>PR-02</t>
        </is>
      </c>
      <c r="F725" t="n">
        <v>480</v>
      </c>
      <c r="G725" t="n">
        <v>30</v>
      </c>
      <c r="H725" t="inlineStr">
        <is>
          <t>압력 이상</t>
        </is>
      </c>
      <c r="I725" t="n">
        <v>6</v>
      </c>
      <c r="J725" t="n">
        <v>4114</v>
      </c>
      <c r="K725" t="n">
        <v>4061</v>
      </c>
      <c r="L725" t="inlineStr">
        <is>
          <t>L-0720</t>
        </is>
      </c>
      <c r="M725">
        <f>F725-G725</f>
        <v/>
      </c>
      <c r="N725" s="2">
        <f>M725/F725</f>
        <v/>
      </c>
      <c r="O725" s="2">
        <f>I725*J725/60/M725</f>
        <v/>
      </c>
      <c r="P725" s="2">
        <f>K725/J725</f>
        <v/>
      </c>
      <c r="Q725" s="2">
        <f>N725*O725*P725</f>
        <v/>
      </c>
    </row>
    <row r="726">
      <c r="A726" t="inlineStr">
        <is>
          <t>2026-07-31</t>
        </is>
      </c>
      <c r="B726" t="inlineStr">
        <is>
          <t>주간</t>
        </is>
      </c>
      <c r="C726" t="inlineStr">
        <is>
          <t>P3</t>
        </is>
      </c>
      <c r="D726" t="inlineStr">
        <is>
          <t>소결</t>
        </is>
      </c>
      <c r="E726" t="inlineStr">
        <is>
          <t>SF-01</t>
        </is>
      </c>
      <c r="F726" t="n">
        <v>480</v>
      </c>
      <c r="G726" t="n">
        <v>25</v>
      </c>
      <c r="H726" t="inlineStr">
        <is>
          <t>온도 이상 정지</t>
        </is>
      </c>
      <c r="I726" t="n">
        <v>6.5</v>
      </c>
      <c r="J726" t="n">
        <v>3731</v>
      </c>
      <c r="K726" t="n">
        <v>3645</v>
      </c>
      <c r="L726" t="inlineStr">
        <is>
          <t>L-0720</t>
        </is>
      </c>
      <c r="M726">
        <f>F726-G726</f>
        <v/>
      </c>
      <c r="N726" s="2">
        <f>M726/F726</f>
        <v/>
      </c>
      <c r="O726" s="2">
        <f>I726*J726/60/M726</f>
        <v/>
      </c>
      <c r="P726" s="2">
        <f>K726/J726</f>
        <v/>
      </c>
      <c r="Q726" s="2">
        <f>N726*O726*P726</f>
        <v/>
      </c>
    </row>
    <row r="727">
      <c r="A727" t="inlineStr">
        <is>
          <t>2026-07-31</t>
        </is>
      </c>
      <c r="B727" t="inlineStr">
        <is>
          <t>주간</t>
        </is>
      </c>
      <c r="C727" t="inlineStr">
        <is>
          <t>P3</t>
        </is>
      </c>
      <c r="D727" t="inlineStr">
        <is>
          <t>소결</t>
        </is>
      </c>
      <c r="E727" t="inlineStr">
        <is>
          <t>SF-02</t>
        </is>
      </c>
      <c r="F727" t="n">
        <v>480</v>
      </c>
      <c r="G727" t="n">
        <v>33</v>
      </c>
      <c r="H727" t="inlineStr">
        <is>
          <t>재가열</t>
        </is>
      </c>
      <c r="I727" t="n">
        <v>6.5</v>
      </c>
      <c r="J727" t="n">
        <v>3962</v>
      </c>
      <c r="K727" t="n">
        <v>3854</v>
      </c>
      <c r="L727" t="inlineStr">
        <is>
          <t>L-0720</t>
        </is>
      </c>
      <c r="M727">
        <f>F727-G727</f>
        <v/>
      </c>
      <c r="N727" s="2">
        <f>M727/F727</f>
        <v/>
      </c>
      <c r="O727" s="2">
        <f>I727*J727/60/M727</f>
        <v/>
      </c>
      <c r="P727" s="2">
        <f>K727/J727</f>
        <v/>
      </c>
      <c r="Q727" s="2">
        <f>N727*O727*P727</f>
        <v/>
      </c>
    </row>
    <row r="728">
      <c r="A728" t="inlineStr">
        <is>
          <t>2026-07-31</t>
        </is>
      </c>
      <c r="B728" t="inlineStr">
        <is>
          <t>주간</t>
        </is>
      </c>
      <c r="C728" t="inlineStr">
        <is>
          <t>P4</t>
        </is>
      </c>
      <c r="D728" t="inlineStr">
        <is>
          <t>연삭</t>
        </is>
      </c>
      <c r="E728" t="inlineStr">
        <is>
          <t>GR-01</t>
        </is>
      </c>
      <c r="F728" t="n">
        <v>480</v>
      </c>
      <c r="G728" t="n">
        <v>46</v>
      </c>
      <c r="H728" t="inlineStr">
        <is>
          <t>공구 교체</t>
        </is>
      </c>
      <c r="I728" t="n">
        <v>6.2</v>
      </c>
      <c r="J728" t="n">
        <v>3855</v>
      </c>
      <c r="K728" t="n">
        <v>3818</v>
      </c>
      <c r="L728" t="inlineStr">
        <is>
          <t>L-0720</t>
        </is>
      </c>
      <c r="M728">
        <f>F728-G728</f>
        <v/>
      </c>
      <c r="N728" s="2">
        <f>M728/F728</f>
        <v/>
      </c>
      <c r="O728" s="2">
        <f>I728*J728/60/M728</f>
        <v/>
      </c>
      <c r="P728" s="2">
        <f>K728/J728</f>
        <v/>
      </c>
      <c r="Q728" s="2">
        <f>N728*O728*P728</f>
        <v/>
      </c>
    </row>
    <row r="729">
      <c r="A729" t="inlineStr">
        <is>
          <t>2026-07-31</t>
        </is>
      </c>
      <c r="B729" t="inlineStr">
        <is>
          <t>주간</t>
        </is>
      </c>
      <c r="C729" t="inlineStr">
        <is>
          <t>P4</t>
        </is>
      </c>
      <c r="D729" t="inlineStr">
        <is>
          <t>연삭</t>
        </is>
      </c>
      <c r="E729" t="inlineStr">
        <is>
          <t>GR-02</t>
        </is>
      </c>
      <c r="F729" t="n">
        <v>480</v>
      </c>
      <c r="G729" t="n">
        <v>71</v>
      </c>
      <c r="H729" t="inlineStr">
        <is>
          <t>공구 교체</t>
        </is>
      </c>
      <c r="I729" t="n">
        <v>6.2</v>
      </c>
      <c r="J729" t="n">
        <v>3567</v>
      </c>
      <c r="K729" t="n">
        <v>3531</v>
      </c>
      <c r="L729" t="inlineStr">
        <is>
          <t>L-0720</t>
        </is>
      </c>
      <c r="M729">
        <f>F729-G729</f>
        <v/>
      </c>
      <c r="N729" s="2">
        <f>M729/F729</f>
        <v/>
      </c>
      <c r="O729" s="2">
        <f>I729*J729/60/M729</f>
        <v/>
      </c>
      <c r="P729" s="2">
        <f>K729/J729</f>
        <v/>
      </c>
      <c r="Q729" s="2">
        <f>N729*O729*P729</f>
        <v/>
      </c>
    </row>
    <row r="730">
      <c r="A730" t="inlineStr">
        <is>
          <t>2026-07-31</t>
        </is>
      </c>
      <c r="B730" t="inlineStr">
        <is>
          <t>주간</t>
        </is>
      </c>
      <c r="C730" t="inlineStr">
        <is>
          <t>P5</t>
        </is>
      </c>
      <c r="D730" t="inlineStr">
        <is>
          <t>검사</t>
        </is>
      </c>
      <c r="E730" t="inlineStr">
        <is>
          <t>IN-01</t>
        </is>
      </c>
      <c r="F730" t="n">
        <v>480</v>
      </c>
      <c r="G730" t="n">
        <v>16</v>
      </c>
      <c r="H730" t="inlineStr">
        <is>
          <t>측정기 교정</t>
        </is>
      </c>
      <c r="I730" t="n">
        <v>5.5</v>
      </c>
      <c r="J730" t="n">
        <v>4928</v>
      </c>
      <c r="K730" t="n">
        <v>4913</v>
      </c>
      <c r="L730" t="inlineStr">
        <is>
          <t>L-0720</t>
        </is>
      </c>
      <c r="M730">
        <f>F730-G730</f>
        <v/>
      </c>
      <c r="N730" s="2">
        <f>M730/F730</f>
        <v/>
      </c>
      <c r="O730" s="2">
        <f>I730*J730/60/M730</f>
        <v/>
      </c>
      <c r="P730" s="2">
        <f>K730/J730</f>
        <v/>
      </c>
      <c r="Q730" s="2">
        <f>N730*O730*P730</f>
        <v/>
      </c>
    </row>
    <row r="731">
      <c r="A731" t="inlineStr">
        <is>
          <t>2026-07-31</t>
        </is>
      </c>
      <c r="B731" t="inlineStr">
        <is>
          <t>주간</t>
        </is>
      </c>
      <c r="C731" t="inlineStr">
        <is>
          <t>P5</t>
        </is>
      </c>
      <c r="D731" t="inlineStr">
        <is>
          <t>검사</t>
        </is>
      </c>
      <c r="E731" t="inlineStr">
        <is>
          <t>IN-02</t>
        </is>
      </c>
      <c r="F731" t="n">
        <v>480</v>
      </c>
      <c r="G731" t="n">
        <v>36</v>
      </c>
      <c r="H731" t="inlineStr">
        <is>
          <t>측정기 교정</t>
        </is>
      </c>
      <c r="I731" t="n">
        <v>5.5</v>
      </c>
      <c r="J731" t="n">
        <v>4427</v>
      </c>
      <c r="K731" t="n">
        <v>4411</v>
      </c>
      <c r="L731" t="inlineStr">
        <is>
          <t>L-0720</t>
        </is>
      </c>
      <c r="M731">
        <f>F731-G731</f>
        <v/>
      </c>
      <c r="N731" s="2">
        <f>M731/F731</f>
        <v/>
      </c>
      <c r="O731" s="2">
        <f>I731*J731/60/M731</f>
        <v/>
      </c>
      <c r="P731" s="2">
        <f>K731/J731</f>
        <v/>
      </c>
      <c r="Q731" s="2">
        <f>N731*O731*P731</f>
        <v/>
      </c>
    </row>
    <row r="732">
      <c r="A732" t="inlineStr">
        <is>
          <t>2026-07-31</t>
        </is>
      </c>
      <c r="B732" t="inlineStr">
        <is>
          <t>주간</t>
        </is>
      </c>
      <c r="C732" t="inlineStr">
        <is>
          <t>P6</t>
        </is>
      </c>
      <c r="D732" t="inlineStr">
        <is>
          <t>포장</t>
        </is>
      </c>
      <c r="E732" t="inlineStr">
        <is>
          <t>PK-01</t>
        </is>
      </c>
      <c r="F732" t="n">
        <v>480</v>
      </c>
      <c r="G732" t="n">
        <v>30</v>
      </c>
      <c r="H732" t="inlineStr">
        <is>
          <t>자재 대기</t>
        </is>
      </c>
      <c r="I732" t="n">
        <v>4.8</v>
      </c>
      <c r="J732" t="n">
        <v>5153</v>
      </c>
      <c r="K732" t="n">
        <v>5144</v>
      </c>
      <c r="L732" t="inlineStr">
        <is>
          <t>L-0720</t>
        </is>
      </c>
      <c r="M732">
        <f>F732-G732</f>
        <v/>
      </c>
      <c r="N732" s="2">
        <f>M732/F732</f>
        <v/>
      </c>
      <c r="O732" s="2">
        <f>I732*J732/60/M732</f>
        <v/>
      </c>
      <c r="P732" s="2">
        <f>K732/J732</f>
        <v/>
      </c>
      <c r="Q732" s="2">
        <f>N732*O732*P732</f>
        <v/>
      </c>
    </row>
    <row r="733">
      <c r="A733" t="inlineStr">
        <is>
          <t>2026-07-31</t>
        </is>
      </c>
      <c r="B733" t="inlineStr">
        <is>
          <t>주간</t>
        </is>
      </c>
      <c r="C733" t="inlineStr">
        <is>
          <t>P6</t>
        </is>
      </c>
      <c r="D733" t="inlineStr">
        <is>
          <t>포장</t>
        </is>
      </c>
      <c r="E733" t="inlineStr">
        <is>
          <t>PK-02</t>
        </is>
      </c>
      <c r="F733" t="n">
        <v>480</v>
      </c>
      <c r="G733" t="n">
        <v>14</v>
      </c>
      <c r="H733" t="inlineStr">
        <is>
          <t>라벨 교체</t>
        </is>
      </c>
      <c r="I733" t="n">
        <v>4.8</v>
      </c>
      <c r="J733" t="n">
        <v>5478</v>
      </c>
      <c r="K733" t="n">
        <v>5467</v>
      </c>
      <c r="L733" t="inlineStr">
        <is>
          <t>L-0720</t>
        </is>
      </c>
      <c r="M733">
        <f>F733-G733</f>
        <v/>
      </c>
      <c r="N733" s="2">
        <f>M733/F733</f>
        <v/>
      </c>
      <c r="O733" s="2">
        <f>I733*J733/60/M733</f>
        <v/>
      </c>
      <c r="P733" s="2">
        <f>K733/J733</f>
        <v/>
      </c>
      <c r="Q733" s="2">
        <f>N733*O733*P733</f>
        <v/>
      </c>
    </row>
    <row r="734">
      <c r="A734" t="inlineStr">
        <is>
          <t>2026-07-31</t>
        </is>
      </c>
      <c r="B734" t="inlineStr">
        <is>
          <t>야간</t>
        </is>
      </c>
      <c r="C734" t="inlineStr">
        <is>
          <t>P1</t>
        </is>
      </c>
      <c r="D734" t="inlineStr">
        <is>
          <t>원료혼합</t>
        </is>
      </c>
      <c r="E734" t="inlineStr">
        <is>
          <t>MX-01</t>
        </is>
      </c>
      <c r="F734" t="n">
        <v>480</v>
      </c>
      <c r="G734" t="n">
        <v>8</v>
      </c>
      <c r="H734" t="inlineStr">
        <is>
          <t>배합 확인</t>
        </is>
      </c>
      <c r="I734" t="n">
        <v>5</v>
      </c>
      <c r="J734" t="n">
        <v>5303</v>
      </c>
      <c r="K734" t="n">
        <v>5270</v>
      </c>
      <c r="L734" t="inlineStr">
        <is>
          <t>L-0720</t>
        </is>
      </c>
      <c r="M734">
        <f>F734-G734</f>
        <v/>
      </c>
      <c r="N734" s="2">
        <f>M734/F734</f>
        <v/>
      </c>
      <c r="O734" s="2">
        <f>I734*J734/60/M734</f>
        <v/>
      </c>
      <c r="P734" s="2">
        <f>K734/J734</f>
        <v/>
      </c>
      <c r="Q734" s="2">
        <f>N734*O734*P734</f>
        <v/>
      </c>
    </row>
    <row r="735">
      <c r="A735" t="inlineStr">
        <is>
          <t>2026-07-31</t>
        </is>
      </c>
      <c r="B735" t="inlineStr">
        <is>
          <t>야간</t>
        </is>
      </c>
      <c r="C735" t="inlineStr">
        <is>
          <t>P1</t>
        </is>
      </c>
      <c r="D735" t="inlineStr">
        <is>
          <t>원료혼합</t>
        </is>
      </c>
      <c r="E735" t="inlineStr">
        <is>
          <t>MX-02</t>
        </is>
      </c>
      <c r="F735" t="n">
        <v>480</v>
      </c>
      <c r="G735" t="n">
        <v>11</v>
      </c>
      <c r="H735" t="inlineStr">
        <is>
          <t>청소</t>
        </is>
      </c>
      <c r="I735" t="n">
        <v>5</v>
      </c>
      <c r="J735" t="n">
        <v>5277</v>
      </c>
      <c r="K735" t="n">
        <v>5242</v>
      </c>
      <c r="L735" t="inlineStr">
        <is>
          <t>L-0720</t>
        </is>
      </c>
      <c r="M735">
        <f>F735-G735</f>
        <v/>
      </c>
      <c r="N735" s="2">
        <f>M735/F735</f>
        <v/>
      </c>
      <c r="O735" s="2">
        <f>I735*J735/60/M735</f>
        <v/>
      </c>
      <c r="P735" s="2">
        <f>K735/J735</f>
        <v/>
      </c>
      <c r="Q735" s="2">
        <f>N735*O735*P735</f>
        <v/>
      </c>
    </row>
    <row r="736">
      <c r="A736" t="inlineStr">
        <is>
          <t>2026-07-31</t>
        </is>
      </c>
      <c r="B736" t="inlineStr">
        <is>
          <t>야간</t>
        </is>
      </c>
      <c r="C736" t="inlineStr">
        <is>
          <t>P2</t>
        </is>
      </c>
      <c r="D736" t="inlineStr">
        <is>
          <t>성형</t>
        </is>
      </c>
      <c r="E736" t="inlineStr">
        <is>
          <t>PR-01</t>
        </is>
      </c>
      <c r="F736" t="n">
        <v>480</v>
      </c>
      <c r="G736" t="n">
        <v>33</v>
      </c>
      <c r="H736" t="inlineStr">
        <is>
          <t>압력 이상</t>
        </is>
      </c>
      <c r="I736" t="n">
        <v>6</v>
      </c>
      <c r="J736" t="n">
        <v>4155</v>
      </c>
      <c r="K736" t="n">
        <v>4102</v>
      </c>
      <c r="L736" t="inlineStr">
        <is>
          <t>L-0720</t>
        </is>
      </c>
      <c r="M736">
        <f>F736-G736</f>
        <v/>
      </c>
      <c r="N736" s="2">
        <f>M736/F736</f>
        <v/>
      </c>
      <c r="O736" s="2">
        <f>I736*J736/60/M736</f>
        <v/>
      </c>
      <c r="P736" s="2">
        <f>K736/J736</f>
        <v/>
      </c>
      <c r="Q736" s="2">
        <f>N736*O736*P736</f>
        <v/>
      </c>
    </row>
    <row r="737">
      <c r="A737" t="inlineStr">
        <is>
          <t>2026-07-31</t>
        </is>
      </c>
      <c r="B737" t="inlineStr">
        <is>
          <t>야간</t>
        </is>
      </c>
      <c r="C737" t="inlineStr">
        <is>
          <t>P2</t>
        </is>
      </c>
      <c r="D737" t="inlineStr">
        <is>
          <t>성형</t>
        </is>
      </c>
      <c r="E737" t="inlineStr">
        <is>
          <t>PR-02</t>
        </is>
      </c>
      <c r="F737" t="n">
        <v>480</v>
      </c>
      <c r="G737" t="n">
        <v>7</v>
      </c>
      <c r="H737" t="inlineStr">
        <is>
          <t>분말 공급 지연</t>
        </is>
      </c>
      <c r="I737" t="n">
        <v>6</v>
      </c>
      <c r="J737" t="n">
        <v>4317</v>
      </c>
      <c r="K737" t="n">
        <v>4275</v>
      </c>
      <c r="L737" t="inlineStr">
        <is>
          <t>L-0720</t>
        </is>
      </c>
      <c r="M737">
        <f>F737-G737</f>
        <v/>
      </c>
      <c r="N737" s="2">
        <f>M737/F737</f>
        <v/>
      </c>
      <c r="O737" s="2">
        <f>I737*J737/60/M737</f>
        <v/>
      </c>
      <c r="P737" s="2">
        <f>K737/J737</f>
        <v/>
      </c>
      <c r="Q737" s="2">
        <f>N737*O737*P737</f>
        <v/>
      </c>
    </row>
    <row r="738">
      <c r="A738" t="inlineStr">
        <is>
          <t>2026-07-31</t>
        </is>
      </c>
      <c r="B738" t="inlineStr">
        <is>
          <t>야간</t>
        </is>
      </c>
      <c r="C738" t="inlineStr">
        <is>
          <t>P3</t>
        </is>
      </c>
      <c r="D738" t="inlineStr">
        <is>
          <t>소결</t>
        </is>
      </c>
      <c r="E738" t="inlineStr">
        <is>
          <t>SF-01</t>
        </is>
      </c>
      <c r="F738" t="n">
        <v>480</v>
      </c>
      <c r="G738" t="n">
        <v>29</v>
      </c>
      <c r="H738" t="inlineStr">
        <is>
          <t>재가열</t>
        </is>
      </c>
      <c r="I738" t="n">
        <v>6.5</v>
      </c>
      <c r="J738" t="n">
        <v>3760</v>
      </c>
      <c r="K738" t="n">
        <v>3698</v>
      </c>
      <c r="L738" t="inlineStr">
        <is>
          <t>L-0720</t>
        </is>
      </c>
      <c r="M738">
        <f>F738-G738</f>
        <v/>
      </c>
      <c r="N738" s="2">
        <f>M738/F738</f>
        <v/>
      </c>
      <c r="O738" s="2">
        <f>I738*J738/60/M738</f>
        <v/>
      </c>
      <c r="P738" s="2">
        <f>K738/J738</f>
        <v/>
      </c>
      <c r="Q738" s="2">
        <f>N738*O738*P738</f>
        <v/>
      </c>
    </row>
    <row r="739">
      <c r="A739" t="inlineStr">
        <is>
          <t>2026-07-31</t>
        </is>
      </c>
      <c r="B739" t="inlineStr">
        <is>
          <t>야간</t>
        </is>
      </c>
      <c r="C739" t="inlineStr">
        <is>
          <t>P3</t>
        </is>
      </c>
      <c r="D739" t="inlineStr">
        <is>
          <t>소결</t>
        </is>
      </c>
      <c r="E739" t="inlineStr">
        <is>
          <t>SF-02</t>
        </is>
      </c>
      <c r="F739" t="n">
        <v>480</v>
      </c>
      <c r="G739" t="n">
        <v>41</v>
      </c>
      <c r="H739" t="inlineStr">
        <is>
          <t>장입 대기</t>
        </is>
      </c>
      <c r="I739" t="n">
        <v>6.5</v>
      </c>
      <c r="J739" t="n">
        <v>3842</v>
      </c>
      <c r="K739" t="n">
        <v>3766</v>
      </c>
      <c r="L739" t="inlineStr">
        <is>
          <t>L-0720</t>
        </is>
      </c>
      <c r="M739">
        <f>F739-G739</f>
        <v/>
      </c>
      <c r="N739" s="2">
        <f>M739/F739</f>
        <v/>
      </c>
      <c r="O739" s="2">
        <f>I739*J739/60/M739</f>
        <v/>
      </c>
      <c r="P739" s="2">
        <f>K739/J739</f>
        <v/>
      </c>
      <c r="Q739" s="2">
        <f>N739*O739*P739</f>
        <v/>
      </c>
    </row>
    <row r="740">
      <c r="A740" t="inlineStr">
        <is>
          <t>2026-07-31</t>
        </is>
      </c>
      <c r="B740" t="inlineStr">
        <is>
          <t>야간</t>
        </is>
      </c>
      <c r="C740" t="inlineStr">
        <is>
          <t>P4</t>
        </is>
      </c>
      <c r="D740" t="inlineStr">
        <is>
          <t>연삭</t>
        </is>
      </c>
      <c r="E740" t="inlineStr">
        <is>
          <t>GR-01</t>
        </is>
      </c>
      <c r="F740" t="n">
        <v>480</v>
      </c>
      <c r="G740" t="n">
        <v>62</v>
      </c>
      <c r="H740" t="inlineStr">
        <is>
          <t>드레싱</t>
        </is>
      </c>
      <c r="I740" t="n">
        <v>6.2</v>
      </c>
      <c r="J740" t="n">
        <v>3598</v>
      </c>
      <c r="K740" t="n">
        <v>3564</v>
      </c>
      <c r="L740" t="inlineStr">
        <is>
          <t>L-0720</t>
        </is>
      </c>
      <c r="M740">
        <f>F740-G740</f>
        <v/>
      </c>
      <c r="N740" s="2">
        <f>M740/F740</f>
        <v/>
      </c>
      <c r="O740" s="2">
        <f>I740*J740/60/M740</f>
        <v/>
      </c>
      <c r="P740" s="2">
        <f>K740/J740</f>
        <v/>
      </c>
      <c r="Q740" s="2">
        <f>N740*O740*P740</f>
        <v/>
      </c>
    </row>
    <row r="741">
      <c r="A741" t="inlineStr">
        <is>
          <t>2026-07-31</t>
        </is>
      </c>
      <c r="B741" t="inlineStr">
        <is>
          <t>야간</t>
        </is>
      </c>
      <c r="C741" t="inlineStr">
        <is>
          <t>P4</t>
        </is>
      </c>
      <c r="D741" t="inlineStr">
        <is>
          <t>연삭</t>
        </is>
      </c>
      <c r="E741" t="inlineStr">
        <is>
          <t>GR-02</t>
        </is>
      </c>
      <c r="F741" t="n">
        <v>480</v>
      </c>
      <c r="G741" t="n">
        <v>44</v>
      </c>
      <c r="H741" t="inlineStr">
        <is>
          <t>공구 교체</t>
        </is>
      </c>
      <c r="I741" t="n">
        <v>6.2</v>
      </c>
      <c r="J741" t="n">
        <v>3976</v>
      </c>
      <c r="K741" t="n">
        <v>3928</v>
      </c>
      <c r="L741" t="inlineStr">
        <is>
          <t>L-0720</t>
        </is>
      </c>
      <c r="M741">
        <f>F741-G741</f>
        <v/>
      </c>
      <c r="N741" s="2">
        <f>M741/F741</f>
        <v/>
      </c>
      <c r="O741" s="2">
        <f>I741*J741/60/M741</f>
        <v/>
      </c>
      <c r="P741" s="2">
        <f>K741/J741</f>
        <v/>
      </c>
      <c r="Q741" s="2">
        <f>N741*O741*P741</f>
        <v/>
      </c>
    </row>
    <row r="742">
      <c r="A742" t="inlineStr">
        <is>
          <t>2026-07-31</t>
        </is>
      </c>
      <c r="B742" t="inlineStr">
        <is>
          <t>야간</t>
        </is>
      </c>
      <c r="C742" t="inlineStr">
        <is>
          <t>P5</t>
        </is>
      </c>
      <c r="D742" t="inlineStr">
        <is>
          <t>검사</t>
        </is>
      </c>
      <c r="E742" t="inlineStr">
        <is>
          <t>IN-01</t>
        </is>
      </c>
      <c r="F742" t="n">
        <v>480</v>
      </c>
      <c r="G742" t="n">
        <v>112</v>
      </c>
      <c r="H742" t="inlineStr">
        <is>
          <t>측정기 교정</t>
        </is>
      </c>
      <c r="I742" t="n">
        <v>5.5</v>
      </c>
      <c r="J742" t="n">
        <v>3646</v>
      </c>
      <c r="K742" t="n">
        <v>3634</v>
      </c>
      <c r="L742" t="inlineStr">
        <is>
          <t>L-0720</t>
        </is>
      </c>
      <c r="M742">
        <f>F742-G742</f>
        <v/>
      </c>
      <c r="N742" s="2">
        <f>M742/F742</f>
        <v/>
      </c>
      <c r="O742" s="2">
        <f>I742*J742/60/M742</f>
        <v/>
      </c>
      <c r="P742" s="2">
        <f>K742/J742</f>
        <v/>
      </c>
      <c r="Q742" s="2">
        <f>N742*O742*P742</f>
        <v/>
      </c>
    </row>
    <row r="743">
      <c r="A743" t="inlineStr">
        <is>
          <t>2026-07-31</t>
        </is>
      </c>
      <c r="B743" t="inlineStr">
        <is>
          <t>야간</t>
        </is>
      </c>
      <c r="C743" t="inlineStr">
        <is>
          <t>P5</t>
        </is>
      </c>
      <c r="D743" t="inlineStr">
        <is>
          <t>검사</t>
        </is>
      </c>
      <c r="E743" t="inlineStr">
        <is>
          <t>IN-02</t>
        </is>
      </c>
      <c r="F743" t="n">
        <v>480</v>
      </c>
      <c r="G743" t="n">
        <v>5</v>
      </c>
      <c r="H743" t="inlineStr">
        <is>
          <t>샘플 재검</t>
        </is>
      </c>
      <c r="I743" t="n">
        <v>5.5</v>
      </c>
      <c r="J743" t="n">
        <v>4993</v>
      </c>
      <c r="K743" t="n">
        <v>4976</v>
      </c>
      <c r="L743" t="inlineStr">
        <is>
          <t>L-0720</t>
        </is>
      </c>
      <c r="M743">
        <f>F743-G743</f>
        <v/>
      </c>
      <c r="N743" s="2">
        <f>M743/F743</f>
        <v/>
      </c>
      <c r="O743" s="2">
        <f>I743*J743/60/M743</f>
        <v/>
      </c>
      <c r="P743" s="2">
        <f>K743/J743</f>
        <v/>
      </c>
      <c r="Q743" s="2">
        <f>N743*O743*P743</f>
        <v/>
      </c>
    </row>
    <row r="744">
      <c r="A744" t="inlineStr">
        <is>
          <t>2026-07-31</t>
        </is>
      </c>
      <c r="B744" t="inlineStr">
        <is>
          <t>야간</t>
        </is>
      </c>
      <c r="C744" t="inlineStr">
        <is>
          <t>P6</t>
        </is>
      </c>
      <c r="D744" t="inlineStr">
        <is>
          <t>포장</t>
        </is>
      </c>
      <c r="E744" t="inlineStr">
        <is>
          <t>PK-01</t>
        </is>
      </c>
      <c r="F744" t="n">
        <v>480</v>
      </c>
      <c r="G744" t="n">
        <v>28</v>
      </c>
      <c r="H744" t="inlineStr">
        <is>
          <t>라벨 교체</t>
        </is>
      </c>
      <c r="I744" t="n">
        <v>4.8</v>
      </c>
      <c r="J744" t="n">
        <v>5259</v>
      </c>
      <c r="K744" t="n">
        <v>5245</v>
      </c>
      <c r="L744" t="inlineStr">
        <is>
          <t>L-0720</t>
        </is>
      </c>
      <c r="M744">
        <f>F744-G744</f>
        <v/>
      </c>
      <c r="N744" s="2">
        <f>M744/F744</f>
        <v/>
      </c>
      <c r="O744" s="2">
        <f>I744*J744/60/M744</f>
        <v/>
      </c>
      <c r="P744" s="2">
        <f>K744/J744</f>
        <v/>
      </c>
      <c r="Q744" s="2">
        <f>N744*O744*P744</f>
        <v/>
      </c>
    </row>
    <row r="745">
      <c r="A745" t="inlineStr">
        <is>
          <t>2026-07-31</t>
        </is>
      </c>
      <c r="B745" t="inlineStr">
        <is>
          <t>야간</t>
        </is>
      </c>
      <c r="C745" t="inlineStr">
        <is>
          <t>P6</t>
        </is>
      </c>
      <c r="D745" t="inlineStr">
        <is>
          <t>포장</t>
        </is>
      </c>
      <c r="E745" t="inlineStr">
        <is>
          <t>PK-02</t>
        </is>
      </c>
      <c r="F745" t="n">
        <v>480</v>
      </c>
      <c r="G745" t="n">
        <v>19</v>
      </c>
      <c r="H745" t="inlineStr">
        <is>
          <t>자재 대기</t>
        </is>
      </c>
      <c r="I745" t="n">
        <v>4.8</v>
      </c>
      <c r="J745" t="n">
        <v>5532</v>
      </c>
      <c r="K745" t="n">
        <v>5514</v>
      </c>
      <c r="L745" t="inlineStr">
        <is>
          <t>L-0720</t>
        </is>
      </c>
      <c r="M745">
        <f>F745-G745</f>
        <v/>
      </c>
      <c r="N745" s="2">
        <f>M745/F745</f>
        <v/>
      </c>
      <c r="O745" s="2">
        <f>I745*J745/60/M745</f>
        <v/>
      </c>
      <c r="P745" s="2">
        <f>K745/J745</f>
        <v/>
      </c>
      <c r="Q745" s="2">
        <f>N745*O745*P745</f>
        <v/>
      </c>
    </row>
    <row r="746">
      <c r="A746" t="inlineStr">
        <is>
          <t>2026-08-01</t>
        </is>
      </c>
      <c r="B746" t="inlineStr">
        <is>
          <t>주간</t>
        </is>
      </c>
      <c r="C746" t="inlineStr">
        <is>
          <t>P1</t>
        </is>
      </c>
      <c r="D746" t="inlineStr">
        <is>
          <t>원료혼합</t>
        </is>
      </c>
      <c r="E746" t="inlineStr">
        <is>
          <t>MX-01</t>
        </is>
      </c>
      <c r="F746" t="n">
        <v>480</v>
      </c>
      <c r="G746" t="n">
        <v>10</v>
      </c>
      <c r="H746" t="inlineStr">
        <is>
          <t>청소</t>
        </is>
      </c>
      <c r="I746" t="n">
        <v>5</v>
      </c>
      <c r="J746" t="n">
        <v>5295</v>
      </c>
      <c r="K746" t="n">
        <v>5264</v>
      </c>
      <c r="L746" t="inlineStr">
        <is>
          <t>L-0720</t>
        </is>
      </c>
      <c r="M746">
        <f>F746-G746</f>
        <v/>
      </c>
      <c r="N746" s="2">
        <f>M746/F746</f>
        <v/>
      </c>
      <c r="O746" s="2">
        <f>I746*J746/60/M746</f>
        <v/>
      </c>
      <c r="P746" s="2">
        <f>K746/J746</f>
        <v/>
      </c>
      <c r="Q746" s="2">
        <f>N746*O746*P746</f>
        <v/>
      </c>
    </row>
    <row r="747">
      <c r="A747" t="inlineStr">
        <is>
          <t>2026-08-01</t>
        </is>
      </c>
      <c r="B747" t="inlineStr">
        <is>
          <t>주간</t>
        </is>
      </c>
      <c r="C747" t="inlineStr">
        <is>
          <t>P1</t>
        </is>
      </c>
      <c r="D747" t="inlineStr">
        <is>
          <t>원료혼합</t>
        </is>
      </c>
      <c r="E747" t="inlineStr">
        <is>
          <t>MX-02</t>
        </is>
      </c>
      <c r="F747" t="n">
        <v>480</v>
      </c>
      <c r="G747" t="n">
        <v>47</v>
      </c>
      <c r="H747" t="inlineStr">
        <is>
          <t>원료 대기</t>
        </is>
      </c>
      <c r="I747" t="n">
        <v>5</v>
      </c>
      <c r="J747" t="n">
        <v>4827</v>
      </c>
      <c r="K747" t="n">
        <v>4799</v>
      </c>
      <c r="L747" t="inlineStr">
        <is>
          <t>L-0720</t>
        </is>
      </c>
      <c r="M747">
        <f>F747-G747</f>
        <v/>
      </c>
      <c r="N747" s="2">
        <f>M747/F747</f>
        <v/>
      </c>
      <c r="O747" s="2">
        <f>I747*J747/60/M747</f>
        <v/>
      </c>
      <c r="P747" s="2">
        <f>K747/J747</f>
        <v/>
      </c>
      <c r="Q747" s="2">
        <f>N747*O747*P747</f>
        <v/>
      </c>
    </row>
    <row r="748">
      <c r="A748" t="inlineStr">
        <is>
          <t>2026-08-01</t>
        </is>
      </c>
      <c r="B748" t="inlineStr">
        <is>
          <t>주간</t>
        </is>
      </c>
      <c r="C748" t="inlineStr">
        <is>
          <t>P2</t>
        </is>
      </c>
      <c r="D748" t="inlineStr">
        <is>
          <t>성형</t>
        </is>
      </c>
      <c r="E748" t="inlineStr">
        <is>
          <t>PR-01</t>
        </is>
      </c>
      <c r="F748" t="n">
        <v>480</v>
      </c>
      <c r="G748" t="n">
        <v>11</v>
      </c>
      <c r="H748" t="inlineStr">
        <is>
          <t>금형 교체</t>
        </is>
      </c>
      <c r="I748" t="n">
        <v>6</v>
      </c>
      <c r="J748" t="n">
        <v>4328</v>
      </c>
      <c r="K748" t="n">
        <v>4277</v>
      </c>
      <c r="L748" t="inlineStr">
        <is>
          <t>L-0720</t>
        </is>
      </c>
      <c r="M748">
        <f>F748-G748</f>
        <v/>
      </c>
      <c r="N748" s="2">
        <f>M748/F748</f>
        <v/>
      </c>
      <c r="O748" s="2">
        <f>I748*J748/60/M748</f>
        <v/>
      </c>
      <c r="P748" s="2">
        <f>K748/J748</f>
        <v/>
      </c>
      <c r="Q748" s="2">
        <f>N748*O748*P748</f>
        <v/>
      </c>
    </row>
    <row r="749">
      <c r="A749" t="inlineStr">
        <is>
          <t>2026-08-01</t>
        </is>
      </c>
      <c r="B749" t="inlineStr">
        <is>
          <t>주간</t>
        </is>
      </c>
      <c r="C749" t="inlineStr">
        <is>
          <t>P2</t>
        </is>
      </c>
      <c r="D749" t="inlineStr">
        <is>
          <t>성형</t>
        </is>
      </c>
      <c r="E749" t="inlineStr">
        <is>
          <t>PR-02</t>
        </is>
      </c>
      <c r="F749" t="n">
        <v>480</v>
      </c>
      <c r="G749" t="n">
        <v>15</v>
      </c>
      <c r="H749" t="inlineStr">
        <is>
          <t>금형 교체</t>
        </is>
      </c>
      <c r="I749" t="n">
        <v>6</v>
      </c>
      <c r="J749" t="n">
        <v>4337</v>
      </c>
      <c r="K749" t="n">
        <v>4286</v>
      </c>
      <c r="L749" t="inlineStr">
        <is>
          <t>L-0720</t>
        </is>
      </c>
      <c r="M749">
        <f>F749-G749</f>
        <v/>
      </c>
      <c r="N749" s="2">
        <f>M749/F749</f>
        <v/>
      </c>
      <c r="O749" s="2">
        <f>I749*J749/60/M749</f>
        <v/>
      </c>
      <c r="P749" s="2">
        <f>K749/J749</f>
        <v/>
      </c>
      <c r="Q749" s="2">
        <f>N749*O749*P749</f>
        <v/>
      </c>
    </row>
    <row r="750">
      <c r="A750" t="inlineStr">
        <is>
          <t>2026-08-01</t>
        </is>
      </c>
      <c r="B750" t="inlineStr">
        <is>
          <t>주간</t>
        </is>
      </c>
      <c r="C750" t="inlineStr">
        <is>
          <t>P3</t>
        </is>
      </c>
      <c r="D750" t="inlineStr">
        <is>
          <t>소결</t>
        </is>
      </c>
      <c r="E750" t="inlineStr">
        <is>
          <t>SF-01</t>
        </is>
      </c>
      <c r="F750" t="n">
        <v>480</v>
      </c>
      <c r="G750" t="n">
        <v>35</v>
      </c>
      <c r="H750" t="inlineStr">
        <is>
          <t>재가열</t>
        </is>
      </c>
      <c r="I750" t="n">
        <v>6.5</v>
      </c>
      <c r="J750" t="n">
        <v>3889</v>
      </c>
      <c r="K750" t="n">
        <v>3780</v>
      </c>
      <c r="L750" t="inlineStr">
        <is>
          <t>L-0720</t>
        </is>
      </c>
      <c r="M750">
        <f>F750-G750</f>
        <v/>
      </c>
      <c r="N750" s="2">
        <f>M750/F750</f>
        <v/>
      </c>
      <c r="O750" s="2">
        <f>I750*J750/60/M750</f>
        <v/>
      </c>
      <c r="P750" s="2">
        <f>K750/J750</f>
        <v/>
      </c>
      <c r="Q750" s="2">
        <f>N750*O750*P750</f>
        <v/>
      </c>
    </row>
    <row r="751">
      <c r="A751" t="inlineStr">
        <is>
          <t>2026-08-01</t>
        </is>
      </c>
      <c r="B751" t="inlineStr">
        <is>
          <t>주간</t>
        </is>
      </c>
      <c r="C751" t="inlineStr">
        <is>
          <t>P3</t>
        </is>
      </c>
      <c r="D751" t="inlineStr">
        <is>
          <t>소결</t>
        </is>
      </c>
      <c r="E751" t="inlineStr">
        <is>
          <t>SF-02</t>
        </is>
      </c>
      <c r="F751" t="n">
        <v>480</v>
      </c>
      <c r="G751" t="n">
        <v>46</v>
      </c>
      <c r="H751" t="inlineStr">
        <is>
          <t>장입 대기</t>
        </is>
      </c>
      <c r="I751" t="n">
        <v>6.5</v>
      </c>
      <c r="J751" t="n">
        <v>3661</v>
      </c>
      <c r="K751" t="n">
        <v>3575</v>
      </c>
      <c r="L751" t="inlineStr">
        <is>
          <t>L-0720</t>
        </is>
      </c>
      <c r="M751">
        <f>F751-G751</f>
        <v/>
      </c>
      <c r="N751" s="2">
        <f>M751/F751</f>
        <v/>
      </c>
      <c r="O751" s="2">
        <f>I751*J751/60/M751</f>
        <v/>
      </c>
      <c r="P751" s="2">
        <f>K751/J751</f>
        <v/>
      </c>
      <c r="Q751" s="2">
        <f>N751*O751*P751</f>
        <v/>
      </c>
    </row>
    <row r="752">
      <c r="A752" t="inlineStr">
        <is>
          <t>2026-08-01</t>
        </is>
      </c>
      <c r="B752" t="inlineStr">
        <is>
          <t>주간</t>
        </is>
      </c>
      <c r="C752" t="inlineStr">
        <is>
          <t>P4</t>
        </is>
      </c>
      <c r="D752" t="inlineStr">
        <is>
          <t>연삭</t>
        </is>
      </c>
      <c r="E752" t="inlineStr">
        <is>
          <t>GR-01</t>
        </is>
      </c>
      <c r="F752" t="n">
        <v>480</v>
      </c>
      <c r="G752" t="n">
        <v>61</v>
      </c>
      <c r="H752" t="inlineStr">
        <is>
          <t>공구 교체</t>
        </is>
      </c>
      <c r="I752" t="n">
        <v>6.2</v>
      </c>
      <c r="J752" t="n">
        <v>3825</v>
      </c>
      <c r="K752" t="n">
        <v>3787</v>
      </c>
      <c r="L752" t="inlineStr">
        <is>
          <t>L-0720</t>
        </is>
      </c>
      <c r="M752">
        <f>F752-G752</f>
        <v/>
      </c>
      <c r="N752" s="2">
        <f>M752/F752</f>
        <v/>
      </c>
      <c r="O752" s="2">
        <f>I752*J752/60/M752</f>
        <v/>
      </c>
      <c r="P752" s="2">
        <f>K752/J752</f>
        <v/>
      </c>
      <c r="Q752" s="2">
        <f>N752*O752*P752</f>
        <v/>
      </c>
    </row>
    <row r="753">
      <c r="A753" t="inlineStr">
        <is>
          <t>2026-08-01</t>
        </is>
      </c>
      <c r="B753" t="inlineStr">
        <is>
          <t>주간</t>
        </is>
      </c>
      <c r="C753" t="inlineStr">
        <is>
          <t>P4</t>
        </is>
      </c>
      <c r="D753" t="inlineStr">
        <is>
          <t>연삭</t>
        </is>
      </c>
      <c r="E753" t="inlineStr">
        <is>
          <t>GR-02</t>
        </is>
      </c>
      <c r="F753" t="n">
        <v>480</v>
      </c>
      <c r="G753" t="n">
        <v>35</v>
      </c>
      <c r="H753" t="inlineStr">
        <is>
          <t>드레싱</t>
        </is>
      </c>
      <c r="I753" t="n">
        <v>6.2</v>
      </c>
      <c r="J753" t="n">
        <v>3884</v>
      </c>
      <c r="K753" t="n">
        <v>3842</v>
      </c>
      <c r="L753" t="inlineStr">
        <is>
          <t>L-0720</t>
        </is>
      </c>
      <c r="M753">
        <f>F753-G753</f>
        <v/>
      </c>
      <c r="N753" s="2">
        <f>M753/F753</f>
        <v/>
      </c>
      <c r="O753" s="2">
        <f>I753*J753/60/M753</f>
        <v/>
      </c>
      <c r="P753" s="2">
        <f>K753/J753</f>
        <v/>
      </c>
      <c r="Q753" s="2">
        <f>N753*O753*P753</f>
        <v/>
      </c>
    </row>
    <row r="754">
      <c r="A754" t="inlineStr">
        <is>
          <t>2026-08-01</t>
        </is>
      </c>
      <c r="B754" t="inlineStr">
        <is>
          <t>주간</t>
        </is>
      </c>
      <c r="C754" t="inlineStr">
        <is>
          <t>P5</t>
        </is>
      </c>
      <c r="D754" t="inlineStr">
        <is>
          <t>검사</t>
        </is>
      </c>
      <c r="E754" t="inlineStr">
        <is>
          <t>IN-01</t>
        </is>
      </c>
      <c r="F754" t="n">
        <v>480</v>
      </c>
      <c r="G754" t="n">
        <v>23</v>
      </c>
      <c r="H754" t="inlineStr">
        <is>
          <t>측정기 교정</t>
        </is>
      </c>
      <c r="I754" t="n">
        <v>5.5</v>
      </c>
      <c r="J754" t="n">
        <v>4521</v>
      </c>
      <c r="K754" t="n">
        <v>4510</v>
      </c>
      <c r="L754" t="inlineStr">
        <is>
          <t>L-0720</t>
        </is>
      </c>
      <c r="M754">
        <f>F754-G754</f>
        <v/>
      </c>
      <c r="N754" s="2">
        <f>M754/F754</f>
        <v/>
      </c>
      <c r="O754" s="2">
        <f>I754*J754/60/M754</f>
        <v/>
      </c>
      <c r="P754" s="2">
        <f>K754/J754</f>
        <v/>
      </c>
      <c r="Q754" s="2">
        <f>N754*O754*P754</f>
        <v/>
      </c>
    </row>
    <row r="755">
      <c r="A755" t="inlineStr">
        <is>
          <t>2026-08-01</t>
        </is>
      </c>
      <c r="B755" t="inlineStr">
        <is>
          <t>주간</t>
        </is>
      </c>
      <c r="C755" t="inlineStr">
        <is>
          <t>P5</t>
        </is>
      </c>
      <c r="D755" t="inlineStr">
        <is>
          <t>검사</t>
        </is>
      </c>
      <c r="E755" t="inlineStr">
        <is>
          <t>IN-02</t>
        </is>
      </c>
      <c r="F755" t="n">
        <v>480</v>
      </c>
      <c r="G755" t="n">
        <v>14</v>
      </c>
      <c r="H755" t="inlineStr">
        <is>
          <t>측정기 교정</t>
        </is>
      </c>
      <c r="I755" t="n">
        <v>5.5</v>
      </c>
      <c r="J755" t="n">
        <v>4833</v>
      </c>
      <c r="K755" t="n">
        <v>4818</v>
      </c>
      <c r="L755" t="inlineStr">
        <is>
          <t>L-0720</t>
        </is>
      </c>
      <c r="M755">
        <f>F755-G755</f>
        <v/>
      </c>
      <c r="N755" s="2">
        <f>M755/F755</f>
        <v/>
      </c>
      <c r="O755" s="2">
        <f>I755*J755/60/M755</f>
        <v/>
      </c>
      <c r="P755" s="2">
        <f>K755/J755</f>
        <v/>
      </c>
      <c r="Q755" s="2">
        <f>N755*O755*P755</f>
        <v/>
      </c>
    </row>
    <row r="756">
      <c r="A756" t="inlineStr">
        <is>
          <t>2026-08-01</t>
        </is>
      </c>
      <c r="B756" t="inlineStr">
        <is>
          <t>주간</t>
        </is>
      </c>
      <c r="C756" t="inlineStr">
        <is>
          <t>P6</t>
        </is>
      </c>
      <c r="D756" t="inlineStr">
        <is>
          <t>포장</t>
        </is>
      </c>
      <c r="E756" t="inlineStr">
        <is>
          <t>PK-01</t>
        </is>
      </c>
      <c r="F756" t="n">
        <v>480</v>
      </c>
      <c r="G756" t="n">
        <v>50</v>
      </c>
      <c r="H756" t="inlineStr">
        <is>
          <t>라벨 교체</t>
        </is>
      </c>
      <c r="I756" t="n">
        <v>4.8</v>
      </c>
      <c r="J756" t="n">
        <v>4900</v>
      </c>
      <c r="K756" t="n">
        <v>4888</v>
      </c>
      <c r="L756" t="inlineStr">
        <is>
          <t>L-0720</t>
        </is>
      </c>
      <c r="M756">
        <f>F756-G756</f>
        <v/>
      </c>
      <c r="N756" s="2">
        <f>M756/F756</f>
        <v/>
      </c>
      <c r="O756" s="2">
        <f>I756*J756/60/M756</f>
        <v/>
      </c>
      <c r="P756" s="2">
        <f>K756/J756</f>
        <v/>
      </c>
      <c r="Q756" s="2">
        <f>N756*O756*P756</f>
        <v/>
      </c>
    </row>
    <row r="757">
      <c r="A757" t="inlineStr">
        <is>
          <t>2026-08-01</t>
        </is>
      </c>
      <c r="B757" t="inlineStr">
        <is>
          <t>주간</t>
        </is>
      </c>
      <c r="C757" t="inlineStr">
        <is>
          <t>P6</t>
        </is>
      </c>
      <c r="D757" t="inlineStr">
        <is>
          <t>포장</t>
        </is>
      </c>
      <c r="E757" t="inlineStr">
        <is>
          <t>PK-02</t>
        </is>
      </c>
      <c r="F757" t="n">
        <v>480</v>
      </c>
      <c r="G757" t="n">
        <v>11</v>
      </c>
      <c r="H757" t="inlineStr">
        <is>
          <t>라벨 교체</t>
        </is>
      </c>
      <c r="I757" t="n">
        <v>4.8</v>
      </c>
      <c r="J757" t="n">
        <v>5539</v>
      </c>
      <c r="K757" t="n">
        <v>5527</v>
      </c>
      <c r="L757" t="inlineStr">
        <is>
          <t>L-0720</t>
        </is>
      </c>
      <c r="M757">
        <f>F757-G757</f>
        <v/>
      </c>
      <c r="N757" s="2">
        <f>M757/F757</f>
        <v/>
      </c>
      <c r="O757" s="2">
        <f>I757*J757/60/M757</f>
        <v/>
      </c>
      <c r="P757" s="2">
        <f>K757/J757</f>
        <v/>
      </c>
      <c r="Q757" s="2">
        <f>N757*O757*P757</f>
        <v/>
      </c>
    </row>
    <row r="758">
      <c r="A758" t="inlineStr">
        <is>
          <t>2026-08-01</t>
        </is>
      </c>
      <c r="B758" t="inlineStr">
        <is>
          <t>야간</t>
        </is>
      </c>
      <c r="C758" t="inlineStr">
        <is>
          <t>P1</t>
        </is>
      </c>
      <c r="D758" t="inlineStr">
        <is>
          <t>원료혼합</t>
        </is>
      </c>
      <c r="E758" t="inlineStr">
        <is>
          <t>MX-01</t>
        </is>
      </c>
      <c r="F758" t="n">
        <v>480</v>
      </c>
      <c r="G758" t="n">
        <v>29</v>
      </c>
      <c r="H758" t="inlineStr">
        <is>
          <t>원료 대기</t>
        </is>
      </c>
      <c r="I758" t="n">
        <v>5</v>
      </c>
      <c r="J758" t="n">
        <v>5216</v>
      </c>
      <c r="K758" t="n">
        <v>5175</v>
      </c>
      <c r="L758" t="inlineStr">
        <is>
          <t>L-0720</t>
        </is>
      </c>
      <c r="M758">
        <f>F758-G758</f>
        <v/>
      </c>
      <c r="N758" s="2">
        <f>M758/F758</f>
        <v/>
      </c>
      <c r="O758" s="2">
        <f>I758*J758/60/M758</f>
        <v/>
      </c>
      <c r="P758" s="2">
        <f>K758/J758</f>
        <v/>
      </c>
      <c r="Q758" s="2">
        <f>N758*O758*P758</f>
        <v/>
      </c>
    </row>
    <row r="759">
      <c r="A759" t="inlineStr">
        <is>
          <t>2026-08-01</t>
        </is>
      </c>
      <c r="B759" t="inlineStr">
        <is>
          <t>야간</t>
        </is>
      </c>
      <c r="C759" t="inlineStr">
        <is>
          <t>P1</t>
        </is>
      </c>
      <c r="D759" t="inlineStr">
        <is>
          <t>원료혼합</t>
        </is>
      </c>
      <c r="E759" t="inlineStr">
        <is>
          <t>MX-02</t>
        </is>
      </c>
      <c r="F759" t="n">
        <v>480</v>
      </c>
      <c r="G759" t="n">
        <v>28</v>
      </c>
      <c r="H759" t="inlineStr">
        <is>
          <t>청소</t>
        </is>
      </c>
      <c r="I759" t="n">
        <v>5</v>
      </c>
      <c r="J759" t="n">
        <v>4788</v>
      </c>
      <c r="K759" t="n">
        <v>4763</v>
      </c>
      <c r="L759" t="inlineStr">
        <is>
          <t>L-0720</t>
        </is>
      </c>
      <c r="M759">
        <f>F759-G759</f>
        <v/>
      </c>
      <c r="N759" s="2">
        <f>M759/F759</f>
        <v/>
      </c>
      <c r="O759" s="2">
        <f>I759*J759/60/M759</f>
        <v/>
      </c>
      <c r="P759" s="2">
        <f>K759/J759</f>
        <v/>
      </c>
      <c r="Q759" s="2">
        <f>N759*O759*P759</f>
        <v/>
      </c>
    </row>
    <row r="760">
      <c r="A760" t="inlineStr">
        <is>
          <t>2026-08-01</t>
        </is>
      </c>
      <c r="B760" t="inlineStr">
        <is>
          <t>야간</t>
        </is>
      </c>
      <c r="C760" t="inlineStr">
        <is>
          <t>P2</t>
        </is>
      </c>
      <c r="D760" t="inlineStr">
        <is>
          <t>성형</t>
        </is>
      </c>
      <c r="E760" t="inlineStr">
        <is>
          <t>PR-01</t>
        </is>
      </c>
      <c r="F760" t="n">
        <v>480</v>
      </c>
      <c r="G760" t="n">
        <v>72</v>
      </c>
      <c r="H760" t="inlineStr">
        <is>
          <t>금형 교체</t>
        </is>
      </c>
      <c r="I760" t="n">
        <v>6</v>
      </c>
      <c r="J760" t="n">
        <v>3785</v>
      </c>
      <c r="K760" t="n">
        <v>3715</v>
      </c>
      <c r="L760" t="inlineStr">
        <is>
          <t>L-0720</t>
        </is>
      </c>
      <c r="M760">
        <f>F760-G760</f>
        <v/>
      </c>
      <c r="N760" s="2">
        <f>M760/F760</f>
        <v/>
      </c>
      <c r="O760" s="2">
        <f>I760*J760/60/M760</f>
        <v/>
      </c>
      <c r="P760" s="2">
        <f>K760/J760</f>
        <v/>
      </c>
      <c r="Q760" s="2">
        <f>N760*O760*P760</f>
        <v/>
      </c>
    </row>
    <row r="761">
      <c r="A761" t="inlineStr">
        <is>
          <t>2026-08-01</t>
        </is>
      </c>
      <c r="B761" t="inlineStr">
        <is>
          <t>야간</t>
        </is>
      </c>
      <c r="C761" t="inlineStr">
        <is>
          <t>P2</t>
        </is>
      </c>
      <c r="D761" t="inlineStr">
        <is>
          <t>성형</t>
        </is>
      </c>
      <c r="E761" t="inlineStr">
        <is>
          <t>PR-02</t>
        </is>
      </c>
      <c r="F761" t="n">
        <v>480</v>
      </c>
      <c r="G761" t="n">
        <v>7</v>
      </c>
      <c r="H761" t="inlineStr">
        <is>
          <t>압력 이상</t>
        </is>
      </c>
      <c r="I761" t="n">
        <v>6</v>
      </c>
      <c r="J761" t="n">
        <v>4371</v>
      </c>
      <c r="K761" t="n">
        <v>4298</v>
      </c>
      <c r="L761" t="inlineStr">
        <is>
          <t>L-0720</t>
        </is>
      </c>
      <c r="M761">
        <f>F761-G761</f>
        <v/>
      </c>
      <c r="N761" s="2">
        <f>M761/F761</f>
        <v/>
      </c>
      <c r="O761" s="2">
        <f>I761*J761/60/M761</f>
        <v/>
      </c>
      <c r="P761" s="2">
        <f>K761/J761</f>
        <v/>
      </c>
      <c r="Q761" s="2">
        <f>N761*O761*P761</f>
        <v/>
      </c>
    </row>
    <row r="762">
      <c r="A762" t="inlineStr">
        <is>
          <t>2026-08-01</t>
        </is>
      </c>
      <c r="B762" t="inlineStr">
        <is>
          <t>야간</t>
        </is>
      </c>
      <c r="C762" t="inlineStr">
        <is>
          <t>P3</t>
        </is>
      </c>
      <c r="D762" t="inlineStr">
        <is>
          <t>소결</t>
        </is>
      </c>
      <c r="E762" t="inlineStr">
        <is>
          <t>SF-01</t>
        </is>
      </c>
      <c r="F762" t="n">
        <v>480</v>
      </c>
      <c r="G762" t="n">
        <v>62</v>
      </c>
      <c r="H762" t="inlineStr">
        <is>
          <t>재가열</t>
        </is>
      </c>
      <c r="I762" t="n">
        <v>6.5</v>
      </c>
      <c r="J762" t="n">
        <v>3444</v>
      </c>
      <c r="K762" t="n">
        <v>3373</v>
      </c>
      <c r="L762" t="inlineStr">
        <is>
          <t>L-0720</t>
        </is>
      </c>
      <c r="M762">
        <f>F762-G762</f>
        <v/>
      </c>
      <c r="N762" s="2">
        <f>M762/F762</f>
        <v/>
      </c>
      <c r="O762" s="2">
        <f>I762*J762/60/M762</f>
        <v/>
      </c>
      <c r="P762" s="2">
        <f>K762/J762</f>
        <v/>
      </c>
      <c r="Q762" s="2">
        <f>N762*O762*P762</f>
        <v/>
      </c>
    </row>
    <row r="763">
      <c r="A763" t="inlineStr">
        <is>
          <t>2026-08-01</t>
        </is>
      </c>
      <c r="B763" t="inlineStr">
        <is>
          <t>야간</t>
        </is>
      </c>
      <c r="C763" t="inlineStr">
        <is>
          <t>P3</t>
        </is>
      </c>
      <c r="D763" t="inlineStr">
        <is>
          <t>소결</t>
        </is>
      </c>
      <c r="E763" t="inlineStr">
        <is>
          <t>SF-02</t>
        </is>
      </c>
      <c r="F763" t="n">
        <v>480</v>
      </c>
      <c r="G763" t="n">
        <v>42</v>
      </c>
      <c r="H763" t="inlineStr">
        <is>
          <t>승온 대기</t>
        </is>
      </c>
      <c r="I763" t="n">
        <v>6.5</v>
      </c>
      <c r="J763" t="n">
        <v>3735</v>
      </c>
      <c r="K763" t="n">
        <v>3674</v>
      </c>
      <c r="L763" t="inlineStr">
        <is>
          <t>L-0720</t>
        </is>
      </c>
      <c r="M763">
        <f>F763-G763</f>
        <v/>
      </c>
      <c r="N763" s="2">
        <f>M763/F763</f>
        <v/>
      </c>
      <c r="O763" s="2">
        <f>I763*J763/60/M763</f>
        <v/>
      </c>
      <c r="P763" s="2">
        <f>K763/J763</f>
        <v/>
      </c>
      <c r="Q763" s="2">
        <f>N763*O763*P763</f>
        <v/>
      </c>
    </row>
    <row r="764">
      <c r="A764" t="inlineStr">
        <is>
          <t>2026-08-01</t>
        </is>
      </c>
      <c r="B764" t="inlineStr">
        <is>
          <t>야간</t>
        </is>
      </c>
      <c r="C764" t="inlineStr">
        <is>
          <t>P4</t>
        </is>
      </c>
      <c r="D764" t="inlineStr">
        <is>
          <t>연삭</t>
        </is>
      </c>
      <c r="E764" t="inlineStr">
        <is>
          <t>GR-01</t>
        </is>
      </c>
      <c r="F764" t="n">
        <v>480</v>
      </c>
      <c r="G764" t="n">
        <v>91</v>
      </c>
      <c r="H764" t="inlineStr">
        <is>
          <t>드레싱</t>
        </is>
      </c>
      <c r="I764" t="n">
        <v>6.2</v>
      </c>
      <c r="J764" t="n">
        <v>3420</v>
      </c>
      <c r="K764" t="n">
        <v>3381</v>
      </c>
      <c r="L764" t="inlineStr">
        <is>
          <t>L-0720</t>
        </is>
      </c>
      <c r="M764">
        <f>F764-G764</f>
        <v/>
      </c>
      <c r="N764" s="2">
        <f>M764/F764</f>
        <v/>
      </c>
      <c r="O764" s="2">
        <f>I764*J764/60/M764</f>
        <v/>
      </c>
      <c r="P764" s="2">
        <f>K764/J764</f>
        <v/>
      </c>
      <c r="Q764" s="2">
        <f>N764*O764*P764</f>
        <v/>
      </c>
    </row>
    <row r="765">
      <c r="A765" t="inlineStr">
        <is>
          <t>2026-08-01</t>
        </is>
      </c>
      <c r="B765" t="inlineStr">
        <is>
          <t>야간</t>
        </is>
      </c>
      <c r="C765" t="inlineStr">
        <is>
          <t>P4</t>
        </is>
      </c>
      <c r="D765" t="inlineStr">
        <is>
          <t>연삭</t>
        </is>
      </c>
      <c r="E765" t="inlineStr">
        <is>
          <t>GR-02</t>
        </is>
      </c>
      <c r="F765" t="n">
        <v>480</v>
      </c>
      <c r="G765" t="n">
        <v>53</v>
      </c>
      <c r="H765" t="inlineStr">
        <is>
          <t>드레싱</t>
        </is>
      </c>
      <c r="I765" t="n">
        <v>6.2</v>
      </c>
      <c r="J765" t="n">
        <v>3754</v>
      </c>
      <c r="K765" t="n">
        <v>3720</v>
      </c>
      <c r="L765" t="inlineStr">
        <is>
          <t>L-0720</t>
        </is>
      </c>
      <c r="M765">
        <f>F765-G765</f>
        <v/>
      </c>
      <c r="N765" s="2">
        <f>M765/F765</f>
        <v/>
      </c>
      <c r="O765" s="2">
        <f>I765*J765/60/M765</f>
        <v/>
      </c>
      <c r="P765" s="2">
        <f>K765/J765</f>
        <v/>
      </c>
      <c r="Q765" s="2">
        <f>N765*O765*P765</f>
        <v/>
      </c>
    </row>
    <row r="766">
      <c r="A766" t="inlineStr">
        <is>
          <t>2026-08-01</t>
        </is>
      </c>
      <c r="B766" t="inlineStr">
        <is>
          <t>야간</t>
        </is>
      </c>
      <c r="C766" t="inlineStr">
        <is>
          <t>P5</t>
        </is>
      </c>
      <c r="D766" t="inlineStr">
        <is>
          <t>검사</t>
        </is>
      </c>
      <c r="E766" t="inlineStr">
        <is>
          <t>IN-01</t>
        </is>
      </c>
      <c r="F766" t="n">
        <v>480</v>
      </c>
      <c r="G766" t="n">
        <v>9</v>
      </c>
      <c r="H766" t="inlineStr">
        <is>
          <t>측정기 교정</t>
        </is>
      </c>
      <c r="I766" t="n">
        <v>5.5</v>
      </c>
      <c r="J766" t="n">
        <v>4699</v>
      </c>
      <c r="K766" t="n">
        <v>4677</v>
      </c>
      <c r="L766" t="inlineStr">
        <is>
          <t>L-0720</t>
        </is>
      </c>
      <c r="M766">
        <f>F766-G766</f>
        <v/>
      </c>
      <c r="N766" s="2">
        <f>M766/F766</f>
        <v/>
      </c>
      <c r="O766" s="2">
        <f>I766*J766/60/M766</f>
        <v/>
      </c>
      <c r="P766" s="2">
        <f>K766/J766</f>
        <v/>
      </c>
      <c r="Q766" s="2">
        <f>N766*O766*P766</f>
        <v/>
      </c>
    </row>
    <row r="767">
      <c r="A767" t="inlineStr">
        <is>
          <t>2026-08-01</t>
        </is>
      </c>
      <c r="B767" t="inlineStr">
        <is>
          <t>야간</t>
        </is>
      </c>
      <c r="C767" t="inlineStr">
        <is>
          <t>P5</t>
        </is>
      </c>
      <c r="D767" t="inlineStr">
        <is>
          <t>검사</t>
        </is>
      </c>
      <c r="E767" t="inlineStr">
        <is>
          <t>IN-02</t>
        </is>
      </c>
      <c r="F767" t="n">
        <v>480</v>
      </c>
      <c r="G767" t="n">
        <v>12</v>
      </c>
      <c r="H767" t="inlineStr">
        <is>
          <t>측정기 교정</t>
        </is>
      </c>
      <c r="I767" t="n">
        <v>5.5</v>
      </c>
      <c r="J767" t="n">
        <v>4852</v>
      </c>
      <c r="K767" t="n">
        <v>4832</v>
      </c>
      <c r="L767" t="inlineStr">
        <is>
          <t>L-0720</t>
        </is>
      </c>
      <c r="M767">
        <f>F767-G767</f>
        <v/>
      </c>
      <c r="N767" s="2">
        <f>M767/F767</f>
        <v/>
      </c>
      <c r="O767" s="2">
        <f>I767*J767/60/M767</f>
        <v/>
      </c>
      <c r="P767" s="2">
        <f>K767/J767</f>
        <v/>
      </c>
      <c r="Q767" s="2">
        <f>N767*O767*P767</f>
        <v/>
      </c>
    </row>
    <row r="768">
      <c r="A768" t="inlineStr">
        <is>
          <t>2026-08-01</t>
        </is>
      </c>
      <c r="B768" t="inlineStr">
        <is>
          <t>야간</t>
        </is>
      </c>
      <c r="C768" t="inlineStr">
        <is>
          <t>P6</t>
        </is>
      </c>
      <c r="D768" t="inlineStr">
        <is>
          <t>포장</t>
        </is>
      </c>
      <c r="E768" t="inlineStr">
        <is>
          <t>PK-01</t>
        </is>
      </c>
      <c r="F768" t="n">
        <v>480</v>
      </c>
      <c r="G768" t="n">
        <v>26</v>
      </c>
      <c r="H768" t="inlineStr">
        <is>
          <t>자재 대기</t>
        </is>
      </c>
      <c r="I768" t="n">
        <v>4.8</v>
      </c>
      <c r="J768" t="n">
        <v>5504</v>
      </c>
      <c r="K768" t="n">
        <v>5488</v>
      </c>
      <c r="L768" t="inlineStr">
        <is>
          <t>L-0720</t>
        </is>
      </c>
      <c r="M768">
        <f>F768-G768</f>
        <v/>
      </c>
      <c r="N768" s="2">
        <f>M768/F768</f>
        <v/>
      </c>
      <c r="O768" s="2">
        <f>I768*J768/60/M768</f>
        <v/>
      </c>
      <c r="P768" s="2">
        <f>K768/J768</f>
        <v/>
      </c>
      <c r="Q768" s="2">
        <f>N768*O768*P768</f>
        <v/>
      </c>
    </row>
    <row r="769">
      <c r="A769" t="inlineStr">
        <is>
          <t>2026-08-01</t>
        </is>
      </c>
      <c r="B769" t="inlineStr">
        <is>
          <t>야간</t>
        </is>
      </c>
      <c r="C769" t="inlineStr">
        <is>
          <t>P6</t>
        </is>
      </c>
      <c r="D769" t="inlineStr">
        <is>
          <t>포장</t>
        </is>
      </c>
      <c r="E769" t="inlineStr">
        <is>
          <t>PK-02</t>
        </is>
      </c>
      <c r="F769" t="n">
        <v>480</v>
      </c>
      <c r="G769" t="n">
        <v>6</v>
      </c>
      <c r="H769" t="inlineStr">
        <is>
          <t>라벨 교체</t>
        </is>
      </c>
      <c r="I769" t="n">
        <v>4.8</v>
      </c>
      <c r="J769" t="n">
        <v>5301</v>
      </c>
      <c r="K769" t="n">
        <v>5286</v>
      </c>
      <c r="L769" t="inlineStr">
        <is>
          <t>L-0720</t>
        </is>
      </c>
      <c r="M769">
        <f>F769-G769</f>
        <v/>
      </c>
      <c r="N769" s="2">
        <f>M769/F769</f>
        <v/>
      </c>
      <c r="O769" s="2">
        <f>I769*J769/60/M769</f>
        <v/>
      </c>
      <c r="P769" s="2">
        <f>K769/J769</f>
        <v/>
      </c>
      <c r="Q769" s="2">
        <f>N769*O769*P769</f>
        <v/>
      </c>
    </row>
    <row r="770">
      <c r="A770" t="inlineStr">
        <is>
          <t>2026-08-02</t>
        </is>
      </c>
      <c r="B770" t="inlineStr">
        <is>
          <t>주간</t>
        </is>
      </c>
      <c r="C770" t="inlineStr">
        <is>
          <t>P1</t>
        </is>
      </c>
      <c r="D770" t="inlineStr">
        <is>
          <t>원료혼합</t>
        </is>
      </c>
      <c r="E770" t="inlineStr">
        <is>
          <t>MX-01</t>
        </is>
      </c>
      <c r="F770" t="n">
        <v>480</v>
      </c>
      <c r="G770" t="n">
        <v>18</v>
      </c>
      <c r="H770" t="inlineStr">
        <is>
          <t>원료 대기</t>
        </is>
      </c>
      <c r="I770" t="n">
        <v>5</v>
      </c>
      <c r="J770" t="n">
        <v>5034</v>
      </c>
      <c r="K770" t="n">
        <v>4998</v>
      </c>
      <c r="L770" t="inlineStr">
        <is>
          <t>L-0720</t>
        </is>
      </c>
      <c r="M770">
        <f>F770-G770</f>
        <v/>
      </c>
      <c r="N770" s="2">
        <f>M770/F770</f>
        <v/>
      </c>
      <c r="O770" s="2">
        <f>I770*J770/60/M770</f>
        <v/>
      </c>
      <c r="P770" s="2">
        <f>K770/J770</f>
        <v/>
      </c>
      <c r="Q770" s="2">
        <f>N770*O770*P770</f>
        <v/>
      </c>
    </row>
    <row r="771">
      <c r="A771" t="inlineStr">
        <is>
          <t>2026-08-02</t>
        </is>
      </c>
      <c r="B771" t="inlineStr">
        <is>
          <t>주간</t>
        </is>
      </c>
      <c r="C771" t="inlineStr">
        <is>
          <t>P1</t>
        </is>
      </c>
      <c r="D771" t="inlineStr">
        <is>
          <t>원료혼합</t>
        </is>
      </c>
      <c r="E771" t="inlineStr">
        <is>
          <t>MX-02</t>
        </is>
      </c>
      <c r="F771" t="n">
        <v>480</v>
      </c>
      <c r="G771" t="n">
        <v>9</v>
      </c>
      <c r="H771" t="inlineStr">
        <is>
          <t>배합 확인</t>
        </is>
      </c>
      <c r="I771" t="n">
        <v>5</v>
      </c>
      <c r="J771" t="n">
        <v>5545</v>
      </c>
      <c r="K771" t="n">
        <v>5509</v>
      </c>
      <c r="L771" t="inlineStr">
        <is>
          <t>L-0720</t>
        </is>
      </c>
      <c r="M771">
        <f>F771-G771</f>
        <v/>
      </c>
      <c r="N771" s="2">
        <f>M771/F771</f>
        <v/>
      </c>
      <c r="O771" s="2">
        <f>I771*J771/60/M771</f>
        <v/>
      </c>
      <c r="P771" s="2">
        <f>K771/J771</f>
        <v/>
      </c>
      <c r="Q771" s="2">
        <f>N771*O771*P771</f>
        <v/>
      </c>
    </row>
    <row r="772">
      <c r="A772" t="inlineStr">
        <is>
          <t>2026-08-02</t>
        </is>
      </c>
      <c r="B772" t="inlineStr">
        <is>
          <t>주간</t>
        </is>
      </c>
      <c r="C772" t="inlineStr">
        <is>
          <t>P2</t>
        </is>
      </c>
      <c r="D772" t="inlineStr">
        <is>
          <t>성형</t>
        </is>
      </c>
      <c r="E772" t="inlineStr">
        <is>
          <t>PR-01</t>
        </is>
      </c>
      <c r="F772" t="n">
        <v>480</v>
      </c>
      <c r="G772" t="n">
        <v>31</v>
      </c>
      <c r="H772" t="inlineStr">
        <is>
          <t>금형 교체</t>
        </is>
      </c>
      <c r="I772" t="n">
        <v>6</v>
      </c>
      <c r="J772" t="n">
        <v>4207</v>
      </c>
      <c r="K772" t="n">
        <v>4147</v>
      </c>
      <c r="L772" t="inlineStr">
        <is>
          <t>L-0720</t>
        </is>
      </c>
      <c r="M772">
        <f>F772-G772</f>
        <v/>
      </c>
      <c r="N772" s="2">
        <f>M772/F772</f>
        <v/>
      </c>
      <c r="O772" s="2">
        <f>I772*J772/60/M772</f>
        <v/>
      </c>
      <c r="P772" s="2">
        <f>K772/J772</f>
        <v/>
      </c>
      <c r="Q772" s="2">
        <f>N772*O772*P772</f>
        <v/>
      </c>
    </row>
    <row r="773">
      <c r="A773" t="inlineStr">
        <is>
          <t>2026-08-02</t>
        </is>
      </c>
      <c r="B773" t="inlineStr">
        <is>
          <t>주간</t>
        </is>
      </c>
      <c r="C773" t="inlineStr">
        <is>
          <t>P2</t>
        </is>
      </c>
      <c r="D773" t="inlineStr">
        <is>
          <t>성형</t>
        </is>
      </c>
      <c r="E773" t="inlineStr">
        <is>
          <t>PR-02</t>
        </is>
      </c>
      <c r="F773" t="n">
        <v>480</v>
      </c>
      <c r="G773" t="n">
        <v>8</v>
      </c>
      <c r="H773" t="inlineStr">
        <is>
          <t>압력 이상</t>
        </is>
      </c>
      <c r="I773" t="n">
        <v>6</v>
      </c>
      <c r="J773" t="n">
        <v>4364</v>
      </c>
      <c r="K773" t="n">
        <v>4307</v>
      </c>
      <c r="L773" t="inlineStr">
        <is>
          <t>L-0720</t>
        </is>
      </c>
      <c r="M773">
        <f>F773-G773</f>
        <v/>
      </c>
      <c r="N773" s="2">
        <f>M773/F773</f>
        <v/>
      </c>
      <c r="O773" s="2">
        <f>I773*J773/60/M773</f>
        <v/>
      </c>
      <c r="P773" s="2">
        <f>K773/J773</f>
        <v/>
      </c>
      <c r="Q773" s="2">
        <f>N773*O773*P773</f>
        <v/>
      </c>
    </row>
    <row r="774">
      <c r="A774" t="inlineStr">
        <is>
          <t>2026-08-02</t>
        </is>
      </c>
      <c r="B774" t="inlineStr">
        <is>
          <t>주간</t>
        </is>
      </c>
      <c r="C774" t="inlineStr">
        <is>
          <t>P3</t>
        </is>
      </c>
      <c r="D774" t="inlineStr">
        <is>
          <t>소결</t>
        </is>
      </c>
      <c r="E774" t="inlineStr">
        <is>
          <t>SF-01</t>
        </is>
      </c>
      <c r="F774" t="n">
        <v>480</v>
      </c>
      <c r="G774" t="n">
        <v>33</v>
      </c>
      <c r="H774" t="inlineStr">
        <is>
          <t>장입 대기</t>
        </is>
      </c>
      <c r="I774" t="n">
        <v>6.5</v>
      </c>
      <c r="J774" t="n">
        <v>3868</v>
      </c>
      <c r="K774" t="n">
        <v>3802</v>
      </c>
      <c r="L774" t="inlineStr">
        <is>
          <t>L-0720</t>
        </is>
      </c>
      <c r="M774">
        <f>F774-G774</f>
        <v/>
      </c>
      <c r="N774" s="2">
        <f>M774/F774</f>
        <v/>
      </c>
      <c r="O774" s="2">
        <f>I774*J774/60/M774</f>
        <v/>
      </c>
      <c r="P774" s="2">
        <f>K774/J774</f>
        <v/>
      </c>
      <c r="Q774" s="2">
        <f>N774*O774*P774</f>
        <v/>
      </c>
    </row>
    <row r="775">
      <c r="A775" t="inlineStr">
        <is>
          <t>2026-08-02</t>
        </is>
      </c>
      <c r="B775" t="inlineStr">
        <is>
          <t>주간</t>
        </is>
      </c>
      <c r="C775" t="inlineStr">
        <is>
          <t>P3</t>
        </is>
      </c>
      <c r="D775" t="inlineStr">
        <is>
          <t>소결</t>
        </is>
      </c>
      <c r="E775" t="inlineStr">
        <is>
          <t>SF-02</t>
        </is>
      </c>
      <c r="F775" t="n">
        <v>480</v>
      </c>
      <c r="G775" t="n">
        <v>43</v>
      </c>
      <c r="H775" t="inlineStr">
        <is>
          <t>장입 대기</t>
        </is>
      </c>
      <c r="I775" t="n">
        <v>6.5</v>
      </c>
      <c r="J775" t="n">
        <v>3542</v>
      </c>
      <c r="K775" t="n">
        <v>3478</v>
      </c>
      <c r="L775" t="inlineStr">
        <is>
          <t>L-0720</t>
        </is>
      </c>
      <c r="M775">
        <f>F775-G775</f>
        <v/>
      </c>
      <c r="N775" s="2">
        <f>M775/F775</f>
        <v/>
      </c>
      <c r="O775" s="2">
        <f>I775*J775/60/M775</f>
        <v/>
      </c>
      <c r="P775" s="2">
        <f>K775/J775</f>
        <v/>
      </c>
      <c r="Q775" s="2">
        <f>N775*O775*P775</f>
        <v/>
      </c>
    </row>
    <row r="776">
      <c r="A776" t="inlineStr">
        <is>
          <t>2026-08-02</t>
        </is>
      </c>
      <c r="B776" t="inlineStr">
        <is>
          <t>주간</t>
        </is>
      </c>
      <c r="C776" t="inlineStr">
        <is>
          <t>P4</t>
        </is>
      </c>
      <c r="D776" t="inlineStr">
        <is>
          <t>연삭</t>
        </is>
      </c>
      <c r="E776" t="inlineStr">
        <is>
          <t>GR-01</t>
        </is>
      </c>
      <c r="F776" t="n">
        <v>480</v>
      </c>
      <c r="G776" t="n">
        <v>59</v>
      </c>
      <c r="H776" t="inlineStr">
        <is>
          <t>공구 교체</t>
        </is>
      </c>
      <c r="I776" t="n">
        <v>6.2</v>
      </c>
      <c r="J776" t="n">
        <v>3819</v>
      </c>
      <c r="K776" t="n">
        <v>3782</v>
      </c>
      <c r="L776" t="inlineStr">
        <is>
          <t>L-0720</t>
        </is>
      </c>
      <c r="M776">
        <f>F776-G776</f>
        <v/>
      </c>
      <c r="N776" s="2">
        <f>M776/F776</f>
        <v/>
      </c>
      <c r="O776" s="2">
        <f>I776*J776/60/M776</f>
        <v/>
      </c>
      <c r="P776" s="2">
        <f>K776/J776</f>
        <v/>
      </c>
      <c r="Q776" s="2">
        <f>N776*O776*P776</f>
        <v/>
      </c>
    </row>
    <row r="777">
      <c r="A777" t="inlineStr">
        <is>
          <t>2026-08-02</t>
        </is>
      </c>
      <c r="B777" t="inlineStr">
        <is>
          <t>주간</t>
        </is>
      </c>
      <c r="C777" t="inlineStr">
        <is>
          <t>P4</t>
        </is>
      </c>
      <c r="D777" t="inlineStr">
        <is>
          <t>연삭</t>
        </is>
      </c>
      <c r="E777" t="inlineStr">
        <is>
          <t>GR-02</t>
        </is>
      </c>
      <c r="F777" t="n">
        <v>480</v>
      </c>
      <c r="G777" t="n">
        <v>46</v>
      </c>
      <c r="H777" t="inlineStr">
        <is>
          <t>공구 교체</t>
        </is>
      </c>
      <c r="I777" t="n">
        <v>6.2</v>
      </c>
      <c r="J777" t="n">
        <v>3841</v>
      </c>
      <c r="K777" t="n">
        <v>3806</v>
      </c>
      <c r="L777" t="inlineStr">
        <is>
          <t>L-0720</t>
        </is>
      </c>
      <c r="M777">
        <f>F777-G777</f>
        <v/>
      </c>
      <c r="N777" s="2">
        <f>M777/F777</f>
        <v/>
      </c>
      <c r="O777" s="2">
        <f>I777*J777/60/M777</f>
        <v/>
      </c>
      <c r="P777" s="2">
        <f>K777/J777</f>
        <v/>
      </c>
      <c r="Q777" s="2">
        <f>N777*O777*P777</f>
        <v/>
      </c>
    </row>
    <row r="778">
      <c r="A778" t="inlineStr">
        <is>
          <t>2026-08-02</t>
        </is>
      </c>
      <c r="B778" t="inlineStr">
        <is>
          <t>주간</t>
        </is>
      </c>
      <c r="C778" t="inlineStr">
        <is>
          <t>P5</t>
        </is>
      </c>
      <c r="D778" t="inlineStr">
        <is>
          <t>검사</t>
        </is>
      </c>
      <c r="E778" t="inlineStr">
        <is>
          <t>IN-01</t>
        </is>
      </c>
      <c r="F778" t="n">
        <v>480</v>
      </c>
      <c r="G778" t="n">
        <v>89</v>
      </c>
      <c r="H778" t="inlineStr">
        <is>
          <t>샘플 재검</t>
        </is>
      </c>
      <c r="I778" t="n">
        <v>5.5</v>
      </c>
      <c r="J778" t="n">
        <v>4002</v>
      </c>
      <c r="K778" t="n">
        <v>3987</v>
      </c>
      <c r="L778" t="inlineStr">
        <is>
          <t>L-0720</t>
        </is>
      </c>
      <c r="M778">
        <f>F778-G778</f>
        <v/>
      </c>
      <c r="N778" s="2">
        <f>M778/F778</f>
        <v/>
      </c>
      <c r="O778" s="2">
        <f>I778*J778/60/M778</f>
        <v/>
      </c>
      <c r="P778" s="2">
        <f>K778/J778</f>
        <v/>
      </c>
      <c r="Q778" s="2">
        <f>N778*O778*P778</f>
        <v/>
      </c>
    </row>
    <row r="779">
      <c r="A779" t="inlineStr">
        <is>
          <t>2026-08-02</t>
        </is>
      </c>
      <c r="B779" t="inlineStr">
        <is>
          <t>주간</t>
        </is>
      </c>
      <c r="C779" t="inlineStr">
        <is>
          <t>P5</t>
        </is>
      </c>
      <c r="D779" t="inlineStr">
        <is>
          <t>검사</t>
        </is>
      </c>
      <c r="E779" t="inlineStr">
        <is>
          <t>IN-02</t>
        </is>
      </c>
      <c r="F779" t="n">
        <v>480</v>
      </c>
      <c r="G779" t="n">
        <v>5</v>
      </c>
      <c r="H779" t="inlineStr">
        <is>
          <t>측정기 교정</t>
        </is>
      </c>
      <c r="I779" t="n">
        <v>5.5</v>
      </c>
      <c r="J779" t="n">
        <v>4930</v>
      </c>
      <c r="K779" t="n">
        <v>4918</v>
      </c>
      <c r="L779" t="inlineStr">
        <is>
          <t>L-0720</t>
        </is>
      </c>
      <c r="M779">
        <f>F779-G779</f>
        <v/>
      </c>
      <c r="N779" s="2">
        <f>M779/F779</f>
        <v/>
      </c>
      <c r="O779" s="2">
        <f>I779*J779/60/M779</f>
        <v/>
      </c>
      <c r="P779" s="2">
        <f>K779/J779</f>
        <v/>
      </c>
      <c r="Q779" s="2">
        <f>N779*O779*P779</f>
        <v/>
      </c>
    </row>
    <row r="780">
      <c r="A780" t="inlineStr">
        <is>
          <t>2026-08-02</t>
        </is>
      </c>
      <c r="B780" t="inlineStr">
        <is>
          <t>주간</t>
        </is>
      </c>
      <c r="C780" t="inlineStr">
        <is>
          <t>P6</t>
        </is>
      </c>
      <c r="D780" t="inlineStr">
        <is>
          <t>포장</t>
        </is>
      </c>
      <c r="E780" t="inlineStr">
        <is>
          <t>PK-01</t>
        </is>
      </c>
      <c r="F780" t="n">
        <v>480</v>
      </c>
      <c r="G780" t="n">
        <v>14</v>
      </c>
      <c r="H780" t="inlineStr">
        <is>
          <t>라벨 교체</t>
        </is>
      </c>
      <c r="I780" t="n">
        <v>4.8</v>
      </c>
      <c r="J780" t="n">
        <v>5212</v>
      </c>
      <c r="K780" t="n">
        <v>5202</v>
      </c>
      <c r="L780" t="inlineStr">
        <is>
          <t>L-0720</t>
        </is>
      </c>
      <c r="M780">
        <f>F780-G780</f>
        <v/>
      </c>
      <c r="N780" s="2">
        <f>M780/F780</f>
        <v/>
      </c>
      <c r="O780" s="2">
        <f>I780*J780/60/M780</f>
        <v/>
      </c>
      <c r="P780" s="2">
        <f>K780/J780</f>
        <v/>
      </c>
      <c r="Q780" s="2">
        <f>N780*O780*P780</f>
        <v/>
      </c>
    </row>
    <row r="781">
      <c r="A781" t="inlineStr">
        <is>
          <t>2026-08-02</t>
        </is>
      </c>
      <c r="B781" t="inlineStr">
        <is>
          <t>주간</t>
        </is>
      </c>
      <c r="C781" t="inlineStr">
        <is>
          <t>P6</t>
        </is>
      </c>
      <c r="D781" t="inlineStr">
        <is>
          <t>포장</t>
        </is>
      </c>
      <c r="E781" t="inlineStr">
        <is>
          <t>PK-02</t>
        </is>
      </c>
      <c r="F781" t="n">
        <v>480</v>
      </c>
      <c r="G781" t="n">
        <v>12</v>
      </c>
      <c r="H781" t="inlineStr">
        <is>
          <t>라벨 교체</t>
        </is>
      </c>
      <c r="I781" t="n">
        <v>4.8</v>
      </c>
      <c r="J781" t="n">
        <v>5750</v>
      </c>
      <c r="K781" t="n">
        <v>5738</v>
      </c>
      <c r="L781" t="inlineStr">
        <is>
          <t>L-0720</t>
        </is>
      </c>
      <c r="M781">
        <f>F781-G781</f>
        <v/>
      </c>
      <c r="N781" s="2">
        <f>M781/F781</f>
        <v/>
      </c>
      <c r="O781" s="2">
        <f>I781*J781/60/M781</f>
        <v/>
      </c>
      <c r="P781" s="2">
        <f>K781/J781</f>
        <v/>
      </c>
      <c r="Q781" s="2">
        <f>N781*O781*P781</f>
        <v/>
      </c>
    </row>
    <row r="782">
      <c r="A782" t="inlineStr">
        <is>
          <t>2026-08-02</t>
        </is>
      </c>
      <c r="B782" t="inlineStr">
        <is>
          <t>야간</t>
        </is>
      </c>
      <c r="C782" t="inlineStr">
        <is>
          <t>P1</t>
        </is>
      </c>
      <c r="D782" t="inlineStr">
        <is>
          <t>원료혼합</t>
        </is>
      </c>
      <c r="E782" t="inlineStr">
        <is>
          <t>MX-01</t>
        </is>
      </c>
      <c r="F782" t="n">
        <v>480</v>
      </c>
      <c r="G782" t="n">
        <v>16</v>
      </c>
      <c r="H782" t="inlineStr">
        <is>
          <t>배합 확인</t>
        </is>
      </c>
      <c r="I782" t="n">
        <v>5</v>
      </c>
      <c r="J782" t="n">
        <v>5308</v>
      </c>
      <c r="K782" t="n">
        <v>5276</v>
      </c>
      <c r="L782" t="inlineStr">
        <is>
          <t>L-0720</t>
        </is>
      </c>
      <c r="M782">
        <f>F782-G782</f>
        <v/>
      </c>
      <c r="N782" s="2">
        <f>M782/F782</f>
        <v/>
      </c>
      <c r="O782" s="2">
        <f>I782*J782/60/M782</f>
        <v/>
      </c>
      <c r="P782" s="2">
        <f>K782/J782</f>
        <v/>
      </c>
      <c r="Q782" s="2">
        <f>N782*O782*P782</f>
        <v/>
      </c>
    </row>
    <row r="783">
      <c r="A783" t="inlineStr">
        <is>
          <t>2026-08-02</t>
        </is>
      </c>
      <c r="B783" t="inlineStr">
        <is>
          <t>야간</t>
        </is>
      </c>
      <c r="C783" t="inlineStr">
        <is>
          <t>P1</t>
        </is>
      </c>
      <c r="D783" t="inlineStr">
        <is>
          <t>원료혼합</t>
        </is>
      </c>
      <c r="E783" t="inlineStr">
        <is>
          <t>MX-02</t>
        </is>
      </c>
      <c r="F783" t="n">
        <v>480</v>
      </c>
      <c r="G783" t="n">
        <v>22</v>
      </c>
      <c r="H783" t="inlineStr">
        <is>
          <t>청소</t>
        </is>
      </c>
      <c r="I783" t="n">
        <v>5</v>
      </c>
      <c r="J783" t="n">
        <v>5408</v>
      </c>
      <c r="K783" t="n">
        <v>5367</v>
      </c>
      <c r="L783" t="inlineStr">
        <is>
          <t>L-0720</t>
        </is>
      </c>
      <c r="M783">
        <f>F783-G783</f>
        <v/>
      </c>
      <c r="N783" s="2">
        <f>M783/F783</f>
        <v/>
      </c>
      <c r="O783" s="2">
        <f>I783*J783/60/M783</f>
        <v/>
      </c>
      <c r="P783" s="2">
        <f>K783/J783</f>
        <v/>
      </c>
      <c r="Q783" s="2">
        <f>N783*O783*P783</f>
        <v/>
      </c>
    </row>
    <row r="784">
      <c r="A784" t="inlineStr">
        <is>
          <t>2026-08-02</t>
        </is>
      </c>
      <c r="B784" t="inlineStr">
        <is>
          <t>야간</t>
        </is>
      </c>
      <c r="C784" t="inlineStr">
        <is>
          <t>P2</t>
        </is>
      </c>
      <c r="D784" t="inlineStr">
        <is>
          <t>성형</t>
        </is>
      </c>
      <c r="E784" t="inlineStr">
        <is>
          <t>PR-01</t>
        </is>
      </c>
      <c r="F784" t="n">
        <v>480</v>
      </c>
      <c r="G784" t="n">
        <v>103</v>
      </c>
      <c r="H784" t="inlineStr">
        <is>
          <t>금형 교체</t>
        </is>
      </c>
      <c r="I784" t="n">
        <v>6</v>
      </c>
      <c r="J784" t="n">
        <v>3562</v>
      </c>
      <c r="K784" t="n">
        <v>3506</v>
      </c>
      <c r="L784" t="inlineStr">
        <is>
          <t>L-0720</t>
        </is>
      </c>
      <c r="M784">
        <f>F784-G784</f>
        <v/>
      </c>
      <c r="N784" s="2">
        <f>M784/F784</f>
        <v/>
      </c>
      <c r="O784" s="2">
        <f>I784*J784/60/M784</f>
        <v/>
      </c>
      <c r="P784" s="2">
        <f>K784/J784</f>
        <v/>
      </c>
      <c r="Q784" s="2">
        <f>N784*O784*P784</f>
        <v/>
      </c>
    </row>
    <row r="785">
      <c r="A785" t="inlineStr">
        <is>
          <t>2026-08-02</t>
        </is>
      </c>
      <c r="B785" t="inlineStr">
        <is>
          <t>야간</t>
        </is>
      </c>
      <c r="C785" t="inlineStr">
        <is>
          <t>P2</t>
        </is>
      </c>
      <c r="D785" t="inlineStr">
        <is>
          <t>성형</t>
        </is>
      </c>
      <c r="E785" t="inlineStr">
        <is>
          <t>PR-02</t>
        </is>
      </c>
      <c r="F785" t="n">
        <v>480</v>
      </c>
      <c r="G785" t="n">
        <v>60</v>
      </c>
      <c r="H785" t="inlineStr">
        <is>
          <t>압력 이상</t>
        </is>
      </c>
      <c r="I785" t="n">
        <v>6</v>
      </c>
      <c r="J785" t="n">
        <v>4130</v>
      </c>
      <c r="K785" t="n">
        <v>4069</v>
      </c>
      <c r="L785" t="inlineStr">
        <is>
          <t>L-0720</t>
        </is>
      </c>
      <c r="M785">
        <f>F785-G785</f>
        <v/>
      </c>
      <c r="N785" s="2">
        <f>M785/F785</f>
        <v/>
      </c>
      <c r="O785" s="2">
        <f>I785*J785/60/M785</f>
        <v/>
      </c>
      <c r="P785" s="2">
        <f>K785/J785</f>
        <v/>
      </c>
      <c r="Q785" s="2">
        <f>N785*O785*P785</f>
        <v/>
      </c>
    </row>
    <row r="786">
      <c r="A786" t="inlineStr">
        <is>
          <t>2026-08-02</t>
        </is>
      </c>
      <c r="B786" t="inlineStr">
        <is>
          <t>야간</t>
        </is>
      </c>
      <c r="C786" t="inlineStr">
        <is>
          <t>P3</t>
        </is>
      </c>
      <c r="D786" t="inlineStr">
        <is>
          <t>소결</t>
        </is>
      </c>
      <c r="E786" t="inlineStr">
        <is>
          <t>SF-01</t>
        </is>
      </c>
      <c r="F786" t="n">
        <v>480</v>
      </c>
      <c r="G786" t="n">
        <v>26</v>
      </c>
      <c r="H786" t="inlineStr">
        <is>
          <t>재가열</t>
        </is>
      </c>
      <c r="I786" t="n">
        <v>6.5</v>
      </c>
      <c r="J786" t="n">
        <v>4132</v>
      </c>
      <c r="K786" t="n">
        <v>4061</v>
      </c>
      <c r="L786" t="inlineStr">
        <is>
          <t>L-0720</t>
        </is>
      </c>
      <c r="M786">
        <f>F786-G786</f>
        <v/>
      </c>
      <c r="N786" s="2">
        <f>M786/F786</f>
        <v/>
      </c>
      <c r="O786" s="2">
        <f>I786*J786/60/M786</f>
        <v/>
      </c>
      <c r="P786" s="2">
        <f>K786/J786</f>
        <v/>
      </c>
      <c r="Q786" s="2">
        <f>N786*O786*P786</f>
        <v/>
      </c>
    </row>
    <row r="787">
      <c r="A787" t="inlineStr">
        <is>
          <t>2026-08-02</t>
        </is>
      </c>
      <c r="B787" t="inlineStr">
        <is>
          <t>야간</t>
        </is>
      </c>
      <c r="C787" t="inlineStr">
        <is>
          <t>P3</t>
        </is>
      </c>
      <c r="D787" t="inlineStr">
        <is>
          <t>소결</t>
        </is>
      </c>
      <c r="E787" t="inlineStr">
        <is>
          <t>SF-02</t>
        </is>
      </c>
      <c r="F787" t="n">
        <v>480</v>
      </c>
      <c r="G787" t="n">
        <v>53</v>
      </c>
      <c r="H787" t="inlineStr">
        <is>
          <t>온도 이상 정지</t>
        </is>
      </c>
      <c r="I787" t="n">
        <v>6.5</v>
      </c>
      <c r="J787" t="n">
        <v>3735</v>
      </c>
      <c r="K787" t="n">
        <v>3630</v>
      </c>
      <c r="L787" t="inlineStr">
        <is>
          <t>L-0720</t>
        </is>
      </c>
      <c r="M787">
        <f>F787-G787</f>
        <v/>
      </c>
      <c r="N787" s="2">
        <f>M787/F787</f>
        <v/>
      </c>
      <c r="O787" s="2">
        <f>I787*J787/60/M787</f>
        <v/>
      </c>
      <c r="P787" s="2">
        <f>K787/J787</f>
        <v/>
      </c>
      <c r="Q787" s="2">
        <f>N787*O787*P787</f>
        <v/>
      </c>
    </row>
    <row r="788">
      <c r="A788" t="inlineStr">
        <is>
          <t>2026-08-02</t>
        </is>
      </c>
      <c r="B788" t="inlineStr">
        <is>
          <t>야간</t>
        </is>
      </c>
      <c r="C788" t="inlineStr">
        <is>
          <t>P4</t>
        </is>
      </c>
      <c r="D788" t="inlineStr">
        <is>
          <t>연삭</t>
        </is>
      </c>
      <c r="E788" t="inlineStr">
        <is>
          <t>GR-01</t>
        </is>
      </c>
      <c r="F788" t="n">
        <v>480</v>
      </c>
      <c r="G788" t="n">
        <v>47</v>
      </c>
      <c r="H788" t="inlineStr">
        <is>
          <t>공구 교체</t>
        </is>
      </c>
      <c r="I788" t="n">
        <v>6.2</v>
      </c>
      <c r="J788" t="n">
        <v>4003</v>
      </c>
      <c r="K788" t="n">
        <v>3965</v>
      </c>
      <c r="L788" t="inlineStr">
        <is>
          <t>L-0720</t>
        </is>
      </c>
      <c r="M788">
        <f>F788-G788</f>
        <v/>
      </c>
      <c r="N788" s="2">
        <f>M788/F788</f>
        <v/>
      </c>
      <c r="O788" s="2">
        <f>I788*J788/60/M788</f>
        <v/>
      </c>
      <c r="P788" s="2">
        <f>K788/J788</f>
        <v/>
      </c>
      <c r="Q788" s="2">
        <f>N788*O788*P788</f>
        <v/>
      </c>
    </row>
    <row r="789">
      <c r="A789" t="inlineStr">
        <is>
          <t>2026-08-02</t>
        </is>
      </c>
      <c r="B789" t="inlineStr">
        <is>
          <t>야간</t>
        </is>
      </c>
      <c r="C789" t="inlineStr">
        <is>
          <t>P4</t>
        </is>
      </c>
      <c r="D789" t="inlineStr">
        <is>
          <t>연삭</t>
        </is>
      </c>
      <c r="E789" t="inlineStr">
        <is>
          <t>GR-02</t>
        </is>
      </c>
      <c r="F789" t="n">
        <v>480</v>
      </c>
      <c r="G789" t="n">
        <v>50</v>
      </c>
      <c r="H789" t="inlineStr">
        <is>
          <t>드레싱</t>
        </is>
      </c>
      <c r="I789" t="n">
        <v>6.2</v>
      </c>
      <c r="J789" t="n">
        <v>3874</v>
      </c>
      <c r="K789" t="n">
        <v>3836</v>
      </c>
      <c r="L789" t="inlineStr">
        <is>
          <t>L-0720</t>
        </is>
      </c>
      <c r="M789">
        <f>F789-G789</f>
        <v/>
      </c>
      <c r="N789" s="2">
        <f>M789/F789</f>
        <v/>
      </c>
      <c r="O789" s="2">
        <f>I789*J789/60/M789</f>
        <v/>
      </c>
      <c r="P789" s="2">
        <f>K789/J789</f>
        <v/>
      </c>
      <c r="Q789" s="2">
        <f>N789*O789*P789</f>
        <v/>
      </c>
    </row>
    <row r="790">
      <c r="A790" t="inlineStr">
        <is>
          <t>2026-08-02</t>
        </is>
      </c>
      <c r="B790" t="inlineStr">
        <is>
          <t>야간</t>
        </is>
      </c>
      <c r="C790" t="inlineStr">
        <is>
          <t>P5</t>
        </is>
      </c>
      <c r="D790" t="inlineStr">
        <is>
          <t>검사</t>
        </is>
      </c>
      <c r="E790" t="inlineStr">
        <is>
          <t>IN-01</t>
        </is>
      </c>
      <c r="F790" t="n">
        <v>480</v>
      </c>
      <c r="G790" t="n">
        <v>9</v>
      </c>
      <c r="H790" t="inlineStr">
        <is>
          <t>측정기 교정</t>
        </is>
      </c>
      <c r="I790" t="n">
        <v>5.5</v>
      </c>
      <c r="J790" t="n">
        <v>4626</v>
      </c>
      <c r="K790" t="n">
        <v>4612</v>
      </c>
      <c r="L790" t="inlineStr">
        <is>
          <t>L-0720</t>
        </is>
      </c>
      <c r="M790">
        <f>F790-G790</f>
        <v/>
      </c>
      <c r="N790" s="2">
        <f>M790/F790</f>
        <v/>
      </c>
      <c r="O790" s="2">
        <f>I790*J790/60/M790</f>
        <v/>
      </c>
      <c r="P790" s="2">
        <f>K790/J790</f>
        <v/>
      </c>
      <c r="Q790" s="2">
        <f>N790*O790*P790</f>
        <v/>
      </c>
    </row>
    <row r="791">
      <c r="A791" t="inlineStr">
        <is>
          <t>2026-08-02</t>
        </is>
      </c>
      <c r="B791" t="inlineStr">
        <is>
          <t>야간</t>
        </is>
      </c>
      <c r="C791" t="inlineStr">
        <is>
          <t>P5</t>
        </is>
      </c>
      <c r="D791" t="inlineStr">
        <is>
          <t>검사</t>
        </is>
      </c>
      <c r="E791" t="inlineStr">
        <is>
          <t>IN-02</t>
        </is>
      </c>
      <c r="F791" t="n">
        <v>480</v>
      </c>
      <c r="G791" t="n">
        <v>12</v>
      </c>
      <c r="H791" t="inlineStr">
        <is>
          <t>샘플 재검</t>
        </is>
      </c>
      <c r="I791" t="n">
        <v>5.5</v>
      </c>
      <c r="J791" t="n">
        <v>4768</v>
      </c>
      <c r="K791" t="n">
        <v>4748</v>
      </c>
      <c r="L791" t="inlineStr">
        <is>
          <t>L-0720</t>
        </is>
      </c>
      <c r="M791">
        <f>F791-G791</f>
        <v/>
      </c>
      <c r="N791" s="2">
        <f>M791/F791</f>
        <v/>
      </c>
      <c r="O791" s="2">
        <f>I791*J791/60/M791</f>
        <v/>
      </c>
      <c r="P791" s="2">
        <f>K791/J791</f>
        <v/>
      </c>
      <c r="Q791" s="2">
        <f>N791*O791*P791</f>
        <v/>
      </c>
    </row>
    <row r="792">
      <c r="A792" t="inlineStr">
        <is>
          <t>2026-08-02</t>
        </is>
      </c>
      <c r="B792" t="inlineStr">
        <is>
          <t>야간</t>
        </is>
      </c>
      <c r="C792" t="inlineStr">
        <is>
          <t>P6</t>
        </is>
      </c>
      <c r="D792" t="inlineStr">
        <is>
          <t>포장</t>
        </is>
      </c>
      <c r="E792" t="inlineStr">
        <is>
          <t>PK-01</t>
        </is>
      </c>
      <c r="F792" t="n">
        <v>480</v>
      </c>
      <c r="G792" t="n">
        <v>28</v>
      </c>
      <c r="H792" t="inlineStr">
        <is>
          <t>라벨 교체</t>
        </is>
      </c>
      <c r="I792" t="n">
        <v>4.8</v>
      </c>
      <c r="J792" t="n">
        <v>5154</v>
      </c>
      <c r="K792" t="n">
        <v>5140</v>
      </c>
      <c r="L792" t="inlineStr">
        <is>
          <t>L-0720</t>
        </is>
      </c>
      <c r="M792">
        <f>F792-G792</f>
        <v/>
      </c>
      <c r="N792" s="2">
        <f>M792/F792</f>
        <v/>
      </c>
      <c r="O792" s="2">
        <f>I792*J792/60/M792</f>
        <v/>
      </c>
      <c r="P792" s="2">
        <f>K792/J792</f>
        <v/>
      </c>
      <c r="Q792" s="2">
        <f>N792*O792*P792</f>
        <v/>
      </c>
    </row>
    <row r="793">
      <c r="A793" t="inlineStr">
        <is>
          <t>2026-08-02</t>
        </is>
      </c>
      <c r="B793" t="inlineStr">
        <is>
          <t>야간</t>
        </is>
      </c>
      <c r="C793" t="inlineStr">
        <is>
          <t>P6</t>
        </is>
      </c>
      <c r="D793" t="inlineStr">
        <is>
          <t>포장</t>
        </is>
      </c>
      <c r="E793" t="inlineStr">
        <is>
          <t>PK-02</t>
        </is>
      </c>
      <c r="F793" t="n">
        <v>480</v>
      </c>
      <c r="G793" t="n">
        <v>16</v>
      </c>
      <c r="H793" t="inlineStr">
        <is>
          <t>라벨 교체</t>
        </is>
      </c>
      <c r="I793" t="n">
        <v>4.8</v>
      </c>
      <c r="J793" t="n">
        <v>5472</v>
      </c>
      <c r="K793" t="n">
        <v>5454</v>
      </c>
      <c r="L793" t="inlineStr">
        <is>
          <t>L-0720</t>
        </is>
      </c>
      <c r="M793">
        <f>F793-G793</f>
        <v/>
      </c>
      <c r="N793" s="2">
        <f>M793/F793</f>
        <v/>
      </c>
      <c r="O793" s="2">
        <f>I793*J793/60/M793</f>
        <v/>
      </c>
      <c r="P793" s="2">
        <f>K793/J793</f>
        <v/>
      </c>
      <c r="Q793" s="2">
        <f>N793*O793*P793</f>
        <v/>
      </c>
    </row>
    <row r="794">
      <c r="A794" t="inlineStr">
        <is>
          <t>2026-08-03</t>
        </is>
      </c>
      <c r="B794" t="inlineStr">
        <is>
          <t>주간</t>
        </is>
      </c>
      <c r="C794" t="inlineStr">
        <is>
          <t>P1</t>
        </is>
      </c>
      <c r="D794" t="inlineStr">
        <is>
          <t>원료혼합</t>
        </is>
      </c>
      <c r="E794" t="inlineStr">
        <is>
          <t>MX-01</t>
        </is>
      </c>
      <c r="F794" t="n">
        <v>480</v>
      </c>
      <c r="G794" t="n">
        <v>8</v>
      </c>
      <c r="H794" t="inlineStr">
        <is>
          <t>청소</t>
        </is>
      </c>
      <c r="I794" t="n">
        <v>5</v>
      </c>
      <c r="J794" t="n">
        <v>5313</v>
      </c>
      <c r="K794" t="n">
        <v>5287</v>
      </c>
      <c r="L794" t="inlineStr">
        <is>
          <t>L-0720</t>
        </is>
      </c>
      <c r="M794">
        <f>F794-G794</f>
        <v/>
      </c>
      <c r="N794" s="2">
        <f>M794/F794</f>
        <v/>
      </c>
      <c r="O794" s="2">
        <f>I794*J794/60/M794</f>
        <v/>
      </c>
      <c r="P794" s="2">
        <f>K794/J794</f>
        <v/>
      </c>
      <c r="Q794" s="2">
        <f>N794*O794*P794</f>
        <v/>
      </c>
    </row>
    <row r="795">
      <c r="A795" t="inlineStr">
        <is>
          <t>2026-08-03</t>
        </is>
      </c>
      <c r="B795" t="inlineStr">
        <is>
          <t>주간</t>
        </is>
      </c>
      <c r="C795" t="inlineStr">
        <is>
          <t>P1</t>
        </is>
      </c>
      <c r="D795" t="inlineStr">
        <is>
          <t>원료혼합</t>
        </is>
      </c>
      <c r="E795" t="inlineStr">
        <is>
          <t>MX-02</t>
        </is>
      </c>
      <c r="F795" t="n">
        <v>480</v>
      </c>
      <c r="G795" t="n">
        <v>25</v>
      </c>
      <c r="H795" t="inlineStr">
        <is>
          <t>청소</t>
        </is>
      </c>
      <c r="I795" t="n">
        <v>5</v>
      </c>
      <c r="J795" t="n">
        <v>4857</v>
      </c>
      <c r="K795" t="n">
        <v>4826</v>
      </c>
      <c r="L795" t="inlineStr">
        <is>
          <t>L-0720</t>
        </is>
      </c>
      <c r="M795">
        <f>F795-G795</f>
        <v/>
      </c>
      <c r="N795" s="2">
        <f>M795/F795</f>
        <v/>
      </c>
      <c r="O795" s="2">
        <f>I795*J795/60/M795</f>
        <v/>
      </c>
      <c r="P795" s="2">
        <f>K795/J795</f>
        <v/>
      </c>
      <c r="Q795" s="2">
        <f>N795*O795*P795</f>
        <v/>
      </c>
    </row>
    <row r="796">
      <c r="A796" t="inlineStr">
        <is>
          <t>2026-08-03</t>
        </is>
      </c>
      <c r="B796" t="inlineStr">
        <is>
          <t>주간</t>
        </is>
      </c>
      <c r="C796" t="inlineStr">
        <is>
          <t>P2</t>
        </is>
      </c>
      <c r="D796" t="inlineStr">
        <is>
          <t>성형</t>
        </is>
      </c>
      <c r="E796" t="inlineStr">
        <is>
          <t>PR-01</t>
        </is>
      </c>
      <c r="F796" t="n">
        <v>480</v>
      </c>
      <c r="G796" t="n">
        <v>3</v>
      </c>
      <c r="H796" t="inlineStr">
        <is>
          <t>금형 교체</t>
        </is>
      </c>
      <c r="I796" t="n">
        <v>6</v>
      </c>
      <c r="J796" t="n">
        <v>4443</v>
      </c>
      <c r="K796" t="n">
        <v>4391</v>
      </c>
      <c r="L796" t="inlineStr">
        <is>
          <t>L-0720</t>
        </is>
      </c>
      <c r="M796">
        <f>F796-G796</f>
        <v/>
      </c>
      <c r="N796" s="2">
        <f>M796/F796</f>
        <v/>
      </c>
      <c r="O796" s="2">
        <f>I796*J796/60/M796</f>
        <v/>
      </c>
      <c r="P796" s="2">
        <f>K796/J796</f>
        <v/>
      </c>
      <c r="Q796" s="2">
        <f>N796*O796*P796</f>
        <v/>
      </c>
    </row>
    <row r="797">
      <c r="A797" t="inlineStr">
        <is>
          <t>2026-08-03</t>
        </is>
      </c>
      <c r="B797" t="inlineStr">
        <is>
          <t>주간</t>
        </is>
      </c>
      <c r="C797" t="inlineStr">
        <is>
          <t>P2</t>
        </is>
      </c>
      <c r="D797" t="inlineStr">
        <is>
          <t>성형</t>
        </is>
      </c>
      <c r="E797" t="inlineStr">
        <is>
          <t>PR-02</t>
        </is>
      </c>
      <c r="F797" t="n">
        <v>480</v>
      </c>
      <c r="G797" t="n">
        <v>37</v>
      </c>
      <c r="H797" t="inlineStr">
        <is>
          <t>압력 이상</t>
        </is>
      </c>
      <c r="I797" t="n">
        <v>6</v>
      </c>
      <c r="J797" t="n">
        <v>4151</v>
      </c>
      <c r="K797" t="n">
        <v>4083</v>
      </c>
      <c r="L797" t="inlineStr">
        <is>
          <t>L-0720</t>
        </is>
      </c>
      <c r="M797">
        <f>F797-G797</f>
        <v/>
      </c>
      <c r="N797" s="2">
        <f>M797/F797</f>
        <v/>
      </c>
      <c r="O797" s="2">
        <f>I797*J797/60/M797</f>
        <v/>
      </c>
      <c r="P797" s="2">
        <f>K797/J797</f>
        <v/>
      </c>
      <c r="Q797" s="2">
        <f>N797*O797*P797</f>
        <v/>
      </c>
    </row>
    <row r="798">
      <c r="A798" t="inlineStr">
        <is>
          <t>2026-08-03</t>
        </is>
      </c>
      <c r="B798" t="inlineStr">
        <is>
          <t>주간</t>
        </is>
      </c>
      <c r="C798" t="inlineStr">
        <is>
          <t>P3</t>
        </is>
      </c>
      <c r="D798" t="inlineStr">
        <is>
          <t>소결</t>
        </is>
      </c>
      <c r="E798" t="inlineStr">
        <is>
          <t>SF-01</t>
        </is>
      </c>
      <c r="F798" t="n">
        <v>480</v>
      </c>
      <c r="G798" t="n">
        <v>34</v>
      </c>
      <c r="H798" t="inlineStr">
        <is>
          <t>온도 이상 정지</t>
        </is>
      </c>
      <c r="I798" t="n">
        <v>6.5</v>
      </c>
      <c r="J798" t="n">
        <v>3721</v>
      </c>
      <c r="K798" t="n">
        <v>3588</v>
      </c>
      <c r="L798" t="inlineStr">
        <is>
          <t>L-0720</t>
        </is>
      </c>
      <c r="M798">
        <f>F798-G798</f>
        <v/>
      </c>
      <c r="N798" s="2">
        <f>M798/F798</f>
        <v/>
      </c>
      <c r="O798" s="2">
        <f>I798*J798/60/M798</f>
        <v/>
      </c>
      <c r="P798" s="2">
        <f>K798/J798</f>
        <v/>
      </c>
      <c r="Q798" s="2">
        <f>N798*O798*P798</f>
        <v/>
      </c>
    </row>
    <row r="799">
      <c r="A799" t="inlineStr">
        <is>
          <t>2026-08-03</t>
        </is>
      </c>
      <c r="B799" t="inlineStr">
        <is>
          <t>주간</t>
        </is>
      </c>
      <c r="C799" t="inlineStr">
        <is>
          <t>P3</t>
        </is>
      </c>
      <c r="D799" t="inlineStr">
        <is>
          <t>소결</t>
        </is>
      </c>
      <c r="E799" t="inlineStr">
        <is>
          <t>SF-02</t>
        </is>
      </c>
      <c r="F799" t="n">
        <v>480</v>
      </c>
      <c r="G799" t="n">
        <v>81</v>
      </c>
      <c r="H799" t="inlineStr">
        <is>
          <t>재가열</t>
        </is>
      </c>
      <c r="I799" t="n">
        <v>6.5</v>
      </c>
      <c r="J799" t="n">
        <v>3534</v>
      </c>
      <c r="K799" t="n">
        <v>3466</v>
      </c>
      <c r="L799" t="inlineStr">
        <is>
          <t>L-0720</t>
        </is>
      </c>
      <c r="M799">
        <f>F799-G799</f>
        <v/>
      </c>
      <c r="N799" s="2">
        <f>M799/F799</f>
        <v/>
      </c>
      <c r="O799" s="2">
        <f>I799*J799/60/M799</f>
        <v/>
      </c>
      <c r="P799" s="2">
        <f>K799/J799</f>
        <v/>
      </c>
      <c r="Q799" s="2">
        <f>N799*O799*P799</f>
        <v/>
      </c>
    </row>
    <row r="800">
      <c r="A800" t="inlineStr">
        <is>
          <t>2026-08-03</t>
        </is>
      </c>
      <c r="B800" t="inlineStr">
        <is>
          <t>주간</t>
        </is>
      </c>
      <c r="C800" t="inlineStr">
        <is>
          <t>P4</t>
        </is>
      </c>
      <c r="D800" t="inlineStr">
        <is>
          <t>연삭</t>
        </is>
      </c>
      <c r="E800" t="inlineStr">
        <is>
          <t>GR-01</t>
        </is>
      </c>
      <c r="F800" t="n">
        <v>480</v>
      </c>
      <c r="G800" t="n">
        <v>53</v>
      </c>
      <c r="H800" t="inlineStr">
        <is>
          <t>공구 교체</t>
        </is>
      </c>
      <c r="I800" t="n">
        <v>6.2</v>
      </c>
      <c r="J800" t="n">
        <v>3818</v>
      </c>
      <c r="K800" t="n">
        <v>3781</v>
      </c>
      <c r="L800" t="inlineStr">
        <is>
          <t>L-0720</t>
        </is>
      </c>
      <c r="M800">
        <f>F800-G800</f>
        <v/>
      </c>
      <c r="N800" s="2">
        <f>M800/F800</f>
        <v/>
      </c>
      <c r="O800" s="2">
        <f>I800*J800/60/M800</f>
        <v/>
      </c>
      <c r="P800" s="2">
        <f>K800/J800</f>
        <v/>
      </c>
      <c r="Q800" s="2">
        <f>N800*O800*P800</f>
        <v/>
      </c>
    </row>
    <row r="801">
      <c r="A801" t="inlineStr">
        <is>
          <t>2026-08-03</t>
        </is>
      </c>
      <c r="B801" t="inlineStr">
        <is>
          <t>주간</t>
        </is>
      </c>
      <c r="C801" t="inlineStr">
        <is>
          <t>P4</t>
        </is>
      </c>
      <c r="D801" t="inlineStr">
        <is>
          <t>연삭</t>
        </is>
      </c>
      <c r="E801" t="inlineStr">
        <is>
          <t>GR-02</t>
        </is>
      </c>
      <c r="F801" t="n">
        <v>480</v>
      </c>
      <c r="G801" t="n">
        <v>50</v>
      </c>
      <c r="H801" t="inlineStr">
        <is>
          <t>공구 교체</t>
        </is>
      </c>
      <c r="I801" t="n">
        <v>6.2</v>
      </c>
      <c r="J801" t="n">
        <v>3765</v>
      </c>
      <c r="K801" t="n">
        <v>3729</v>
      </c>
      <c r="L801" t="inlineStr">
        <is>
          <t>L-0720</t>
        </is>
      </c>
      <c r="M801">
        <f>F801-G801</f>
        <v/>
      </c>
      <c r="N801" s="2">
        <f>M801/F801</f>
        <v/>
      </c>
      <c r="O801" s="2">
        <f>I801*J801/60/M801</f>
        <v/>
      </c>
      <c r="P801" s="2">
        <f>K801/J801</f>
        <v/>
      </c>
      <c r="Q801" s="2">
        <f>N801*O801*P801</f>
        <v/>
      </c>
    </row>
    <row r="802">
      <c r="A802" t="inlineStr">
        <is>
          <t>2026-08-03</t>
        </is>
      </c>
      <c r="B802" t="inlineStr">
        <is>
          <t>주간</t>
        </is>
      </c>
      <c r="C802" t="inlineStr">
        <is>
          <t>P5</t>
        </is>
      </c>
      <c r="D802" t="inlineStr">
        <is>
          <t>검사</t>
        </is>
      </c>
      <c r="E802" t="inlineStr">
        <is>
          <t>IN-01</t>
        </is>
      </c>
      <c r="F802" t="n">
        <v>480</v>
      </c>
      <c r="G802" t="n">
        <v>9</v>
      </c>
      <c r="H802" t="inlineStr">
        <is>
          <t>측정기 교정</t>
        </is>
      </c>
      <c r="I802" t="n">
        <v>5.5</v>
      </c>
      <c r="J802" t="n">
        <v>4479</v>
      </c>
      <c r="K802" t="n">
        <v>4466</v>
      </c>
      <c r="L802" t="inlineStr">
        <is>
          <t>L-0720</t>
        </is>
      </c>
      <c r="M802">
        <f>F802-G802</f>
        <v/>
      </c>
      <c r="N802" s="2">
        <f>M802/F802</f>
        <v/>
      </c>
      <c r="O802" s="2">
        <f>I802*J802/60/M802</f>
        <v/>
      </c>
      <c r="P802" s="2">
        <f>K802/J802</f>
        <v/>
      </c>
      <c r="Q802" s="2">
        <f>N802*O802*P802</f>
        <v/>
      </c>
    </row>
    <row r="803">
      <c r="A803" t="inlineStr">
        <is>
          <t>2026-08-03</t>
        </is>
      </c>
      <c r="B803" t="inlineStr">
        <is>
          <t>주간</t>
        </is>
      </c>
      <c r="C803" t="inlineStr">
        <is>
          <t>P5</t>
        </is>
      </c>
      <c r="D803" t="inlineStr">
        <is>
          <t>검사</t>
        </is>
      </c>
      <c r="E803" t="inlineStr">
        <is>
          <t>IN-02</t>
        </is>
      </c>
      <c r="F803" t="n">
        <v>480</v>
      </c>
      <c r="G803" t="n">
        <v>15</v>
      </c>
      <c r="H803" t="inlineStr">
        <is>
          <t>측정기 교정</t>
        </is>
      </c>
      <c r="I803" t="n">
        <v>5.5</v>
      </c>
      <c r="J803" t="n">
        <v>4779</v>
      </c>
      <c r="K803" t="n">
        <v>4766</v>
      </c>
      <c r="L803" t="inlineStr">
        <is>
          <t>L-0720</t>
        </is>
      </c>
      <c r="M803">
        <f>F803-G803</f>
        <v/>
      </c>
      <c r="N803" s="2">
        <f>M803/F803</f>
        <v/>
      </c>
      <c r="O803" s="2">
        <f>I803*J803/60/M803</f>
        <v/>
      </c>
      <c r="P803" s="2">
        <f>K803/J803</f>
        <v/>
      </c>
      <c r="Q803" s="2">
        <f>N803*O803*P803</f>
        <v/>
      </c>
    </row>
    <row r="804">
      <c r="A804" t="inlineStr">
        <is>
          <t>2026-08-03</t>
        </is>
      </c>
      <c r="B804" t="inlineStr">
        <is>
          <t>주간</t>
        </is>
      </c>
      <c r="C804" t="inlineStr">
        <is>
          <t>P6</t>
        </is>
      </c>
      <c r="D804" t="inlineStr">
        <is>
          <t>포장</t>
        </is>
      </c>
      <c r="E804" t="inlineStr">
        <is>
          <t>PK-01</t>
        </is>
      </c>
      <c r="F804" t="n">
        <v>480</v>
      </c>
      <c r="G804" t="n">
        <v>28</v>
      </c>
      <c r="H804" t="inlineStr">
        <is>
          <t>라벨 교체</t>
        </is>
      </c>
      <c r="I804" t="n">
        <v>4.8</v>
      </c>
      <c r="J804" t="n">
        <v>5149</v>
      </c>
      <c r="K804" t="n">
        <v>5139</v>
      </c>
      <c r="L804" t="inlineStr">
        <is>
          <t>L-0720</t>
        </is>
      </c>
      <c r="M804">
        <f>F804-G804</f>
        <v/>
      </c>
      <c r="N804" s="2">
        <f>M804/F804</f>
        <v/>
      </c>
      <c r="O804" s="2">
        <f>I804*J804/60/M804</f>
        <v/>
      </c>
      <c r="P804" s="2">
        <f>K804/J804</f>
        <v/>
      </c>
      <c r="Q804" s="2">
        <f>N804*O804*P804</f>
        <v/>
      </c>
    </row>
    <row r="805">
      <c r="A805" t="inlineStr">
        <is>
          <t>2026-08-03</t>
        </is>
      </c>
      <c r="B805" t="inlineStr">
        <is>
          <t>주간</t>
        </is>
      </c>
      <c r="C805" t="inlineStr">
        <is>
          <t>P6</t>
        </is>
      </c>
      <c r="D805" t="inlineStr">
        <is>
          <t>포장</t>
        </is>
      </c>
      <c r="E805" t="inlineStr">
        <is>
          <t>PK-02</t>
        </is>
      </c>
      <c r="F805" t="n">
        <v>480</v>
      </c>
      <c r="G805" t="n">
        <v>30</v>
      </c>
      <c r="H805" t="inlineStr">
        <is>
          <t>라벨 교체</t>
        </is>
      </c>
      <c r="I805" t="n">
        <v>4.8</v>
      </c>
      <c r="J805" t="n">
        <v>5228</v>
      </c>
      <c r="K805" t="n">
        <v>5217</v>
      </c>
      <c r="L805" t="inlineStr">
        <is>
          <t>L-0720</t>
        </is>
      </c>
      <c r="M805">
        <f>F805-G805</f>
        <v/>
      </c>
      <c r="N805" s="2">
        <f>M805/F805</f>
        <v/>
      </c>
      <c r="O805" s="2">
        <f>I805*J805/60/M805</f>
        <v/>
      </c>
      <c r="P805" s="2">
        <f>K805/J805</f>
        <v/>
      </c>
      <c r="Q805" s="2">
        <f>N805*O805*P805</f>
        <v/>
      </c>
    </row>
    <row r="806">
      <c r="A806" t="inlineStr">
        <is>
          <t>2026-08-03</t>
        </is>
      </c>
      <c r="B806" t="inlineStr">
        <is>
          <t>야간</t>
        </is>
      </c>
      <c r="C806" t="inlineStr">
        <is>
          <t>P1</t>
        </is>
      </c>
      <c r="D806" t="inlineStr">
        <is>
          <t>원료혼합</t>
        </is>
      </c>
      <c r="E806" t="inlineStr">
        <is>
          <t>MX-01</t>
        </is>
      </c>
      <c r="F806" t="n">
        <v>480</v>
      </c>
      <c r="G806" t="n">
        <v>22</v>
      </c>
      <c r="H806" t="inlineStr">
        <is>
          <t>원료 대기</t>
        </is>
      </c>
      <c r="I806" t="n">
        <v>5</v>
      </c>
      <c r="J806" t="n">
        <v>5006</v>
      </c>
      <c r="K806" t="n">
        <v>4970</v>
      </c>
      <c r="L806" t="inlineStr">
        <is>
          <t>L-0720</t>
        </is>
      </c>
      <c r="M806">
        <f>F806-G806</f>
        <v/>
      </c>
      <c r="N806" s="2">
        <f>M806/F806</f>
        <v/>
      </c>
      <c r="O806" s="2">
        <f>I806*J806/60/M806</f>
        <v/>
      </c>
      <c r="P806" s="2">
        <f>K806/J806</f>
        <v/>
      </c>
      <c r="Q806" s="2">
        <f>N806*O806*P806</f>
        <v/>
      </c>
    </row>
    <row r="807">
      <c r="A807" t="inlineStr">
        <is>
          <t>2026-08-03</t>
        </is>
      </c>
      <c r="B807" t="inlineStr">
        <is>
          <t>야간</t>
        </is>
      </c>
      <c r="C807" t="inlineStr">
        <is>
          <t>P1</t>
        </is>
      </c>
      <c r="D807" t="inlineStr">
        <is>
          <t>원료혼합</t>
        </is>
      </c>
      <c r="E807" t="inlineStr">
        <is>
          <t>MX-02</t>
        </is>
      </c>
      <c r="F807" t="n">
        <v>480</v>
      </c>
      <c r="G807" t="n">
        <v>27</v>
      </c>
      <c r="H807" t="inlineStr">
        <is>
          <t>원료 대기</t>
        </is>
      </c>
      <c r="I807" t="n">
        <v>5</v>
      </c>
      <c r="J807" t="n">
        <v>5077</v>
      </c>
      <c r="K807" t="n">
        <v>5037</v>
      </c>
      <c r="L807" t="inlineStr">
        <is>
          <t>L-0720</t>
        </is>
      </c>
      <c r="M807">
        <f>F807-G807</f>
        <v/>
      </c>
      <c r="N807" s="2">
        <f>M807/F807</f>
        <v/>
      </c>
      <c r="O807" s="2">
        <f>I807*J807/60/M807</f>
        <v/>
      </c>
      <c r="P807" s="2">
        <f>K807/J807</f>
        <v/>
      </c>
      <c r="Q807" s="2">
        <f>N807*O807*P807</f>
        <v/>
      </c>
    </row>
    <row r="808">
      <c r="A808" t="inlineStr">
        <is>
          <t>2026-08-03</t>
        </is>
      </c>
      <c r="B808" t="inlineStr">
        <is>
          <t>야간</t>
        </is>
      </c>
      <c r="C808" t="inlineStr">
        <is>
          <t>P2</t>
        </is>
      </c>
      <c r="D808" t="inlineStr">
        <is>
          <t>성형</t>
        </is>
      </c>
      <c r="E808" t="inlineStr">
        <is>
          <t>PR-01</t>
        </is>
      </c>
      <c r="F808" t="n">
        <v>480</v>
      </c>
      <c r="G808" t="n">
        <v>19</v>
      </c>
      <c r="H808" t="inlineStr">
        <is>
          <t>금형 교체</t>
        </is>
      </c>
      <c r="I808" t="n">
        <v>6</v>
      </c>
      <c r="J808" t="n">
        <v>4233</v>
      </c>
      <c r="K808" t="n">
        <v>4167</v>
      </c>
      <c r="L808" t="inlineStr">
        <is>
          <t>L-0720</t>
        </is>
      </c>
      <c r="M808">
        <f>F808-G808</f>
        <v/>
      </c>
      <c r="N808" s="2">
        <f>M808/F808</f>
        <v/>
      </c>
      <c r="O808" s="2">
        <f>I808*J808/60/M808</f>
        <v/>
      </c>
      <c r="P808" s="2">
        <f>K808/J808</f>
        <v/>
      </c>
      <c r="Q808" s="2">
        <f>N808*O808*P808</f>
        <v/>
      </c>
    </row>
    <row r="809">
      <c r="A809" t="inlineStr">
        <is>
          <t>2026-08-03</t>
        </is>
      </c>
      <c r="B809" t="inlineStr">
        <is>
          <t>야간</t>
        </is>
      </c>
      <c r="C809" t="inlineStr">
        <is>
          <t>P2</t>
        </is>
      </c>
      <c r="D809" t="inlineStr">
        <is>
          <t>성형</t>
        </is>
      </c>
      <c r="E809" t="inlineStr">
        <is>
          <t>PR-02</t>
        </is>
      </c>
      <c r="F809" t="n">
        <v>480</v>
      </c>
      <c r="G809" t="n">
        <v>3</v>
      </c>
      <c r="H809" t="inlineStr">
        <is>
          <t>금형 교체</t>
        </is>
      </c>
      <c r="I809" t="n">
        <v>6</v>
      </c>
      <c r="J809" t="n">
        <v>4521</v>
      </c>
      <c r="K809" t="n">
        <v>4433</v>
      </c>
      <c r="L809" t="inlineStr">
        <is>
          <t>L-0720</t>
        </is>
      </c>
      <c r="M809">
        <f>F809-G809</f>
        <v/>
      </c>
      <c r="N809" s="2">
        <f>M809/F809</f>
        <v/>
      </c>
      <c r="O809" s="2">
        <f>I809*J809/60/M809</f>
        <v/>
      </c>
      <c r="P809" s="2">
        <f>K809/J809</f>
        <v/>
      </c>
      <c r="Q809" s="2">
        <f>N809*O809*P809</f>
        <v/>
      </c>
    </row>
    <row r="810">
      <c r="A810" t="inlineStr">
        <is>
          <t>2026-08-03</t>
        </is>
      </c>
      <c r="B810" t="inlineStr">
        <is>
          <t>야간</t>
        </is>
      </c>
      <c r="C810" t="inlineStr">
        <is>
          <t>P3</t>
        </is>
      </c>
      <c r="D810" t="inlineStr">
        <is>
          <t>소결</t>
        </is>
      </c>
      <c r="E810" t="inlineStr">
        <is>
          <t>SF-01</t>
        </is>
      </c>
      <c r="F810" t="n">
        <v>480</v>
      </c>
      <c r="G810" t="n">
        <v>22</v>
      </c>
      <c r="H810" t="inlineStr">
        <is>
          <t>장입 대기</t>
        </is>
      </c>
      <c r="I810" t="n">
        <v>6.5</v>
      </c>
      <c r="J810" t="n">
        <v>3936</v>
      </c>
      <c r="K810" t="n">
        <v>3787</v>
      </c>
      <c r="L810" t="inlineStr">
        <is>
          <t>L-0720</t>
        </is>
      </c>
      <c r="M810">
        <f>F810-G810</f>
        <v/>
      </c>
      <c r="N810" s="2">
        <f>M810/F810</f>
        <v/>
      </c>
      <c r="O810" s="2">
        <f>I810*J810/60/M810</f>
        <v/>
      </c>
      <c r="P810" s="2">
        <f>K810/J810</f>
        <v/>
      </c>
      <c r="Q810" s="2">
        <f>N810*O810*P810</f>
        <v/>
      </c>
    </row>
    <row r="811">
      <c r="A811" t="inlineStr">
        <is>
          <t>2026-08-03</t>
        </is>
      </c>
      <c r="B811" t="inlineStr">
        <is>
          <t>야간</t>
        </is>
      </c>
      <c r="C811" t="inlineStr">
        <is>
          <t>P3</t>
        </is>
      </c>
      <c r="D811" t="inlineStr">
        <is>
          <t>소결</t>
        </is>
      </c>
      <c r="E811" t="inlineStr">
        <is>
          <t>SF-02</t>
        </is>
      </c>
      <c r="F811" t="n">
        <v>480</v>
      </c>
      <c r="G811" t="n">
        <v>40</v>
      </c>
      <c r="H811" t="inlineStr">
        <is>
          <t>승온 대기</t>
        </is>
      </c>
      <c r="I811" t="n">
        <v>6.5</v>
      </c>
      <c r="J811" t="n">
        <v>3862</v>
      </c>
      <c r="K811" t="n">
        <v>3751</v>
      </c>
      <c r="L811" t="inlineStr">
        <is>
          <t>L-0720</t>
        </is>
      </c>
      <c r="M811">
        <f>F811-G811</f>
        <v/>
      </c>
      <c r="N811" s="2">
        <f>M811/F811</f>
        <v/>
      </c>
      <c r="O811" s="2">
        <f>I811*J811/60/M811</f>
        <v/>
      </c>
      <c r="P811" s="2">
        <f>K811/J811</f>
        <v/>
      </c>
      <c r="Q811" s="2">
        <f>N811*O811*P811</f>
        <v/>
      </c>
    </row>
    <row r="812">
      <c r="A812" t="inlineStr">
        <is>
          <t>2026-08-03</t>
        </is>
      </c>
      <c r="B812" t="inlineStr">
        <is>
          <t>야간</t>
        </is>
      </c>
      <c r="C812" t="inlineStr">
        <is>
          <t>P4</t>
        </is>
      </c>
      <c r="D812" t="inlineStr">
        <is>
          <t>연삭</t>
        </is>
      </c>
      <c r="E812" t="inlineStr">
        <is>
          <t>GR-01</t>
        </is>
      </c>
      <c r="F812" t="n">
        <v>480</v>
      </c>
      <c r="G812" t="n">
        <v>46</v>
      </c>
      <c r="H812" t="inlineStr">
        <is>
          <t>공구 교체</t>
        </is>
      </c>
      <c r="I812" t="n">
        <v>6.2</v>
      </c>
      <c r="J812" t="n">
        <v>3843</v>
      </c>
      <c r="K812" t="n">
        <v>3801</v>
      </c>
      <c r="L812" t="inlineStr">
        <is>
          <t>L-0720</t>
        </is>
      </c>
      <c r="M812">
        <f>F812-G812</f>
        <v/>
      </c>
      <c r="N812" s="2">
        <f>M812/F812</f>
        <v/>
      </c>
      <c r="O812" s="2">
        <f>I812*J812/60/M812</f>
        <v/>
      </c>
      <c r="P812" s="2">
        <f>K812/J812</f>
        <v/>
      </c>
      <c r="Q812" s="2">
        <f>N812*O812*P812</f>
        <v/>
      </c>
    </row>
    <row r="813">
      <c r="A813" t="inlineStr">
        <is>
          <t>2026-08-03</t>
        </is>
      </c>
      <c r="B813" t="inlineStr">
        <is>
          <t>야간</t>
        </is>
      </c>
      <c r="C813" t="inlineStr">
        <is>
          <t>P4</t>
        </is>
      </c>
      <c r="D813" t="inlineStr">
        <is>
          <t>연삭</t>
        </is>
      </c>
      <c r="E813" t="inlineStr">
        <is>
          <t>GR-02</t>
        </is>
      </c>
      <c r="F813" t="n">
        <v>480</v>
      </c>
      <c r="G813" t="n">
        <v>59</v>
      </c>
      <c r="H813" t="inlineStr">
        <is>
          <t>드레싱</t>
        </is>
      </c>
      <c r="I813" t="n">
        <v>6.2</v>
      </c>
      <c r="J813" t="n">
        <v>3564</v>
      </c>
      <c r="K813" t="n">
        <v>3518</v>
      </c>
      <c r="L813" t="inlineStr">
        <is>
          <t>L-0720</t>
        </is>
      </c>
      <c r="M813">
        <f>F813-G813</f>
        <v/>
      </c>
      <c r="N813" s="2">
        <f>M813/F813</f>
        <v/>
      </c>
      <c r="O813" s="2">
        <f>I813*J813/60/M813</f>
        <v/>
      </c>
      <c r="P813" s="2">
        <f>K813/J813</f>
        <v/>
      </c>
      <c r="Q813" s="2">
        <f>N813*O813*P813</f>
        <v/>
      </c>
    </row>
    <row r="814">
      <c r="A814" t="inlineStr">
        <is>
          <t>2026-08-03</t>
        </is>
      </c>
      <c r="B814" t="inlineStr">
        <is>
          <t>야간</t>
        </is>
      </c>
      <c r="C814" t="inlineStr">
        <is>
          <t>P5</t>
        </is>
      </c>
      <c r="D814" t="inlineStr">
        <is>
          <t>검사</t>
        </is>
      </c>
      <c r="E814" t="inlineStr">
        <is>
          <t>IN-01</t>
        </is>
      </c>
      <c r="F814" t="n">
        <v>480</v>
      </c>
      <c r="G814" t="n">
        <v>67</v>
      </c>
      <c r="H814" t="inlineStr">
        <is>
          <t>측정기 교정</t>
        </is>
      </c>
      <c r="I814" t="n">
        <v>5.5</v>
      </c>
      <c r="J814" t="n">
        <v>4028</v>
      </c>
      <c r="K814" t="n">
        <v>4009</v>
      </c>
      <c r="L814" t="inlineStr">
        <is>
          <t>L-0720</t>
        </is>
      </c>
      <c r="M814">
        <f>F814-G814</f>
        <v/>
      </c>
      <c r="N814" s="2">
        <f>M814/F814</f>
        <v/>
      </c>
      <c r="O814" s="2">
        <f>I814*J814/60/M814</f>
        <v/>
      </c>
      <c r="P814" s="2">
        <f>K814/J814</f>
        <v/>
      </c>
      <c r="Q814" s="2">
        <f>N814*O814*P814</f>
        <v/>
      </c>
    </row>
    <row r="815">
      <c r="A815" t="inlineStr">
        <is>
          <t>2026-08-03</t>
        </is>
      </c>
      <c r="B815" t="inlineStr">
        <is>
          <t>야간</t>
        </is>
      </c>
      <c r="C815" t="inlineStr">
        <is>
          <t>P5</t>
        </is>
      </c>
      <c r="D815" t="inlineStr">
        <is>
          <t>검사</t>
        </is>
      </c>
      <c r="E815" t="inlineStr">
        <is>
          <t>IN-02</t>
        </is>
      </c>
      <c r="F815" t="n">
        <v>480</v>
      </c>
      <c r="G815" t="n">
        <v>13</v>
      </c>
      <c r="H815" t="inlineStr">
        <is>
          <t>측정기 교정</t>
        </is>
      </c>
      <c r="I815" t="n">
        <v>5.5</v>
      </c>
      <c r="J815" t="n">
        <v>4846</v>
      </c>
      <c r="K815" t="n">
        <v>4826</v>
      </c>
      <c r="L815" t="inlineStr">
        <is>
          <t>L-0720</t>
        </is>
      </c>
      <c r="M815">
        <f>F815-G815</f>
        <v/>
      </c>
      <c r="N815" s="2">
        <f>M815/F815</f>
        <v/>
      </c>
      <c r="O815" s="2">
        <f>I815*J815/60/M815</f>
        <v/>
      </c>
      <c r="P815" s="2">
        <f>K815/J815</f>
        <v/>
      </c>
      <c r="Q815" s="2">
        <f>N815*O815*P815</f>
        <v/>
      </c>
    </row>
    <row r="816">
      <c r="A816" t="inlineStr">
        <is>
          <t>2026-08-03</t>
        </is>
      </c>
      <c r="B816" t="inlineStr">
        <is>
          <t>야간</t>
        </is>
      </c>
      <c r="C816" t="inlineStr">
        <is>
          <t>P6</t>
        </is>
      </c>
      <c r="D816" t="inlineStr">
        <is>
          <t>포장</t>
        </is>
      </c>
      <c r="E816" t="inlineStr">
        <is>
          <t>PK-01</t>
        </is>
      </c>
      <c r="F816" t="n">
        <v>480</v>
      </c>
      <c r="G816" t="n">
        <v>53</v>
      </c>
      <c r="H816" t="inlineStr">
        <is>
          <t>라벨 교체</t>
        </is>
      </c>
      <c r="I816" t="n">
        <v>4.8</v>
      </c>
      <c r="J816" t="n">
        <v>5164</v>
      </c>
      <c r="K816" t="n">
        <v>5148</v>
      </c>
      <c r="L816" t="inlineStr">
        <is>
          <t>L-0720</t>
        </is>
      </c>
      <c r="M816">
        <f>F816-G816</f>
        <v/>
      </c>
      <c r="N816" s="2">
        <f>M816/F816</f>
        <v/>
      </c>
      <c r="O816" s="2">
        <f>I816*J816/60/M816</f>
        <v/>
      </c>
      <c r="P816" s="2">
        <f>K816/J816</f>
        <v/>
      </c>
      <c r="Q816" s="2">
        <f>N816*O816*P816</f>
        <v/>
      </c>
    </row>
    <row r="817">
      <c r="A817" t="inlineStr">
        <is>
          <t>2026-08-03</t>
        </is>
      </c>
      <c r="B817" t="inlineStr">
        <is>
          <t>야간</t>
        </is>
      </c>
      <c r="C817" t="inlineStr">
        <is>
          <t>P6</t>
        </is>
      </c>
      <c r="D817" t="inlineStr">
        <is>
          <t>포장</t>
        </is>
      </c>
      <c r="E817" t="inlineStr">
        <is>
          <t>PK-02</t>
        </is>
      </c>
      <c r="F817" t="n">
        <v>480</v>
      </c>
      <c r="G817" t="n">
        <v>27</v>
      </c>
      <c r="H817" t="inlineStr">
        <is>
          <t>자재 대기</t>
        </is>
      </c>
      <c r="I817" t="n">
        <v>4.8</v>
      </c>
      <c r="J817" t="n">
        <v>5131</v>
      </c>
      <c r="K817" t="n">
        <v>5116</v>
      </c>
      <c r="L817" t="inlineStr">
        <is>
          <t>L-0720</t>
        </is>
      </c>
      <c r="M817">
        <f>F817-G817</f>
        <v/>
      </c>
      <c r="N817" s="2">
        <f>M817/F817</f>
        <v/>
      </c>
      <c r="O817" s="2">
        <f>I817*J817/60/M817</f>
        <v/>
      </c>
      <c r="P817" s="2">
        <f>K817/J817</f>
        <v/>
      </c>
      <c r="Q817" s="2">
        <f>N817*O817*P817</f>
        <v/>
      </c>
    </row>
    <row r="818">
      <c r="A818" t="inlineStr">
        <is>
          <t>2026-08-04</t>
        </is>
      </c>
      <c r="B818" t="inlineStr">
        <is>
          <t>주간</t>
        </is>
      </c>
      <c r="C818" t="inlineStr">
        <is>
          <t>P1</t>
        </is>
      </c>
      <c r="D818" t="inlineStr">
        <is>
          <t>원료혼합</t>
        </is>
      </c>
      <c r="E818" t="inlineStr">
        <is>
          <t>MX-01</t>
        </is>
      </c>
      <c r="F818" t="n">
        <v>480</v>
      </c>
      <c r="G818" t="n">
        <v>25</v>
      </c>
      <c r="H818" t="inlineStr">
        <is>
          <t>배합 확인</t>
        </is>
      </c>
      <c r="I818" t="n">
        <v>5</v>
      </c>
      <c r="J818" t="n">
        <v>4949</v>
      </c>
      <c r="K818" t="n">
        <v>4923</v>
      </c>
      <c r="L818" t="inlineStr">
        <is>
          <t>L-0720</t>
        </is>
      </c>
      <c r="M818">
        <f>F818-G818</f>
        <v/>
      </c>
      <c r="N818" s="2">
        <f>M818/F818</f>
        <v/>
      </c>
      <c r="O818" s="2">
        <f>I818*J818/60/M818</f>
        <v/>
      </c>
      <c r="P818" s="2">
        <f>K818/J818</f>
        <v/>
      </c>
      <c r="Q818" s="2">
        <f>N818*O818*P818</f>
        <v/>
      </c>
    </row>
    <row r="819">
      <c r="A819" t="inlineStr">
        <is>
          <t>2026-08-04</t>
        </is>
      </c>
      <c r="B819" t="inlineStr">
        <is>
          <t>주간</t>
        </is>
      </c>
      <c r="C819" t="inlineStr">
        <is>
          <t>P1</t>
        </is>
      </c>
      <c r="D819" t="inlineStr">
        <is>
          <t>원료혼합</t>
        </is>
      </c>
      <c r="E819" t="inlineStr">
        <is>
          <t>MX-02</t>
        </is>
      </c>
      <c r="F819" t="n">
        <v>480</v>
      </c>
      <c r="G819" t="n">
        <v>28</v>
      </c>
      <c r="H819" t="inlineStr">
        <is>
          <t>원료 대기</t>
        </is>
      </c>
      <c r="I819" t="n">
        <v>5</v>
      </c>
      <c r="J819" t="n">
        <v>5120</v>
      </c>
      <c r="K819" t="n">
        <v>5093</v>
      </c>
      <c r="L819" t="inlineStr">
        <is>
          <t>L-0720</t>
        </is>
      </c>
      <c r="M819">
        <f>F819-G819</f>
        <v/>
      </c>
      <c r="N819" s="2">
        <f>M819/F819</f>
        <v/>
      </c>
      <c r="O819" s="2">
        <f>I819*J819/60/M819</f>
        <v/>
      </c>
      <c r="P819" s="2">
        <f>K819/J819</f>
        <v/>
      </c>
      <c r="Q819" s="2">
        <f>N819*O819*P819</f>
        <v/>
      </c>
    </row>
    <row r="820">
      <c r="A820" t="inlineStr">
        <is>
          <t>2026-08-04</t>
        </is>
      </c>
      <c r="B820" t="inlineStr">
        <is>
          <t>주간</t>
        </is>
      </c>
      <c r="C820" t="inlineStr">
        <is>
          <t>P2</t>
        </is>
      </c>
      <c r="D820" t="inlineStr">
        <is>
          <t>성형</t>
        </is>
      </c>
      <c r="E820" t="inlineStr">
        <is>
          <t>PR-01</t>
        </is>
      </c>
      <c r="F820" t="n">
        <v>480</v>
      </c>
      <c r="G820" t="n">
        <v>25</v>
      </c>
      <c r="H820" t="inlineStr">
        <is>
          <t>압력 이상</t>
        </is>
      </c>
      <c r="I820" t="n">
        <v>6</v>
      </c>
      <c r="J820" t="n">
        <v>4306</v>
      </c>
      <c r="K820" t="n">
        <v>4250</v>
      </c>
      <c r="L820" t="inlineStr">
        <is>
          <t>L-0720</t>
        </is>
      </c>
      <c r="M820">
        <f>F820-G820</f>
        <v/>
      </c>
      <c r="N820" s="2">
        <f>M820/F820</f>
        <v/>
      </c>
      <c r="O820" s="2">
        <f>I820*J820/60/M820</f>
        <v/>
      </c>
      <c r="P820" s="2">
        <f>K820/J820</f>
        <v/>
      </c>
      <c r="Q820" s="2">
        <f>N820*O820*P820</f>
        <v/>
      </c>
    </row>
    <row r="821">
      <c r="A821" t="inlineStr">
        <is>
          <t>2026-08-04</t>
        </is>
      </c>
      <c r="B821" t="inlineStr">
        <is>
          <t>주간</t>
        </is>
      </c>
      <c r="C821" t="inlineStr">
        <is>
          <t>P2</t>
        </is>
      </c>
      <c r="D821" t="inlineStr">
        <is>
          <t>성형</t>
        </is>
      </c>
      <c r="E821" t="inlineStr">
        <is>
          <t>PR-02</t>
        </is>
      </c>
      <c r="F821" t="n">
        <v>480</v>
      </c>
      <c r="G821" t="n">
        <v>33</v>
      </c>
      <c r="H821" t="inlineStr">
        <is>
          <t>분말 공급 지연</t>
        </is>
      </c>
      <c r="I821" t="n">
        <v>6</v>
      </c>
      <c r="J821" t="n">
        <v>4229</v>
      </c>
      <c r="K821" t="n">
        <v>4173</v>
      </c>
      <c r="L821" t="inlineStr">
        <is>
          <t>L-0720</t>
        </is>
      </c>
      <c r="M821">
        <f>F821-G821</f>
        <v/>
      </c>
      <c r="N821" s="2">
        <f>M821/F821</f>
        <v/>
      </c>
      <c r="O821" s="2">
        <f>I821*J821/60/M821</f>
        <v/>
      </c>
      <c r="P821" s="2">
        <f>K821/J821</f>
        <v/>
      </c>
      <c r="Q821" s="2">
        <f>N821*O821*P821</f>
        <v/>
      </c>
    </row>
    <row r="822">
      <c r="A822" t="inlineStr">
        <is>
          <t>2026-08-04</t>
        </is>
      </c>
      <c r="B822" t="inlineStr">
        <is>
          <t>주간</t>
        </is>
      </c>
      <c r="C822" t="inlineStr">
        <is>
          <t>P3</t>
        </is>
      </c>
      <c r="D822" t="inlineStr">
        <is>
          <t>소결</t>
        </is>
      </c>
      <c r="E822" t="inlineStr">
        <is>
          <t>SF-01</t>
        </is>
      </c>
      <c r="F822" t="n">
        <v>480</v>
      </c>
      <c r="G822" t="n">
        <v>27</v>
      </c>
      <c r="H822" t="inlineStr">
        <is>
          <t>온도 이상 정지</t>
        </is>
      </c>
      <c r="I822" t="n">
        <v>6.5</v>
      </c>
      <c r="J822" t="n">
        <v>3884</v>
      </c>
      <c r="K822" t="n">
        <v>3800</v>
      </c>
      <c r="L822" t="inlineStr">
        <is>
          <t>L-0720</t>
        </is>
      </c>
      <c r="M822">
        <f>F822-G822</f>
        <v/>
      </c>
      <c r="N822" s="2">
        <f>M822/F822</f>
        <v/>
      </c>
      <c r="O822" s="2">
        <f>I822*J822/60/M822</f>
        <v/>
      </c>
      <c r="P822" s="2">
        <f>K822/J822</f>
        <v/>
      </c>
      <c r="Q822" s="2">
        <f>N822*O822*P822</f>
        <v/>
      </c>
    </row>
    <row r="823">
      <c r="A823" t="inlineStr">
        <is>
          <t>2026-08-04</t>
        </is>
      </c>
      <c r="B823" t="inlineStr">
        <is>
          <t>주간</t>
        </is>
      </c>
      <c r="C823" t="inlineStr">
        <is>
          <t>P3</t>
        </is>
      </c>
      <c r="D823" t="inlineStr">
        <is>
          <t>소결</t>
        </is>
      </c>
      <c r="E823" t="inlineStr">
        <is>
          <t>SF-02</t>
        </is>
      </c>
      <c r="F823" t="n">
        <v>480</v>
      </c>
      <c r="G823" t="n">
        <v>35</v>
      </c>
      <c r="H823" t="inlineStr">
        <is>
          <t>장입 대기</t>
        </is>
      </c>
      <c r="I823" t="n">
        <v>6.5</v>
      </c>
      <c r="J823" t="n">
        <v>3784</v>
      </c>
      <c r="K823" t="n">
        <v>3666</v>
      </c>
      <c r="L823" t="inlineStr">
        <is>
          <t>L-0720</t>
        </is>
      </c>
      <c r="M823">
        <f>F823-G823</f>
        <v/>
      </c>
      <c r="N823" s="2">
        <f>M823/F823</f>
        <v/>
      </c>
      <c r="O823" s="2">
        <f>I823*J823/60/M823</f>
        <v/>
      </c>
      <c r="P823" s="2">
        <f>K823/J823</f>
        <v/>
      </c>
      <c r="Q823" s="2">
        <f>N823*O823*P823</f>
        <v/>
      </c>
    </row>
    <row r="824">
      <c r="A824" t="inlineStr">
        <is>
          <t>2026-08-04</t>
        </is>
      </c>
      <c r="B824" t="inlineStr">
        <is>
          <t>주간</t>
        </is>
      </c>
      <c r="C824" t="inlineStr">
        <is>
          <t>P4</t>
        </is>
      </c>
      <c r="D824" t="inlineStr">
        <is>
          <t>연삭</t>
        </is>
      </c>
      <c r="E824" t="inlineStr">
        <is>
          <t>GR-01</t>
        </is>
      </c>
      <c r="F824" t="n">
        <v>480</v>
      </c>
      <c r="G824" t="n">
        <v>71</v>
      </c>
      <c r="H824" t="inlineStr">
        <is>
          <t>드레싱</t>
        </is>
      </c>
      <c r="I824" t="n">
        <v>6.2</v>
      </c>
      <c r="J824" t="n">
        <v>3706</v>
      </c>
      <c r="K824" t="n">
        <v>3665</v>
      </c>
      <c r="L824" t="inlineStr">
        <is>
          <t>L-0720</t>
        </is>
      </c>
      <c r="M824">
        <f>F824-G824</f>
        <v/>
      </c>
      <c r="N824" s="2">
        <f>M824/F824</f>
        <v/>
      </c>
      <c r="O824" s="2">
        <f>I824*J824/60/M824</f>
        <v/>
      </c>
      <c r="P824" s="2">
        <f>K824/J824</f>
        <v/>
      </c>
      <c r="Q824" s="2">
        <f>N824*O824*P824</f>
        <v/>
      </c>
    </row>
    <row r="825">
      <c r="A825" t="inlineStr">
        <is>
          <t>2026-08-04</t>
        </is>
      </c>
      <c r="B825" t="inlineStr">
        <is>
          <t>주간</t>
        </is>
      </c>
      <c r="C825" t="inlineStr">
        <is>
          <t>P4</t>
        </is>
      </c>
      <c r="D825" t="inlineStr">
        <is>
          <t>연삭</t>
        </is>
      </c>
      <c r="E825" t="inlineStr">
        <is>
          <t>GR-02</t>
        </is>
      </c>
      <c r="F825" t="n">
        <v>480</v>
      </c>
      <c r="G825" t="n">
        <v>89</v>
      </c>
      <c r="H825" t="inlineStr">
        <is>
          <t>드레싱</t>
        </is>
      </c>
      <c r="I825" t="n">
        <v>6.2</v>
      </c>
      <c r="J825" t="n">
        <v>3515</v>
      </c>
      <c r="K825" t="n">
        <v>3473</v>
      </c>
      <c r="L825" t="inlineStr">
        <is>
          <t>L-0720</t>
        </is>
      </c>
      <c r="M825">
        <f>F825-G825</f>
        <v/>
      </c>
      <c r="N825" s="2">
        <f>M825/F825</f>
        <v/>
      </c>
      <c r="O825" s="2">
        <f>I825*J825/60/M825</f>
        <v/>
      </c>
      <c r="P825" s="2">
        <f>K825/J825</f>
        <v/>
      </c>
      <c r="Q825" s="2">
        <f>N825*O825*P825</f>
        <v/>
      </c>
    </row>
    <row r="826">
      <c r="A826" t="inlineStr">
        <is>
          <t>2026-08-04</t>
        </is>
      </c>
      <c r="B826" t="inlineStr">
        <is>
          <t>주간</t>
        </is>
      </c>
      <c r="C826" t="inlineStr">
        <is>
          <t>P5</t>
        </is>
      </c>
      <c r="D826" t="inlineStr">
        <is>
          <t>검사</t>
        </is>
      </c>
      <c r="E826" t="inlineStr">
        <is>
          <t>IN-01</t>
        </is>
      </c>
      <c r="F826" t="n">
        <v>480</v>
      </c>
      <c r="G826" t="n">
        <v>25</v>
      </c>
      <c r="H826" t="inlineStr">
        <is>
          <t>측정기 교정</t>
        </is>
      </c>
      <c r="I826" t="n">
        <v>5.5</v>
      </c>
      <c r="J826" t="n">
        <v>4703</v>
      </c>
      <c r="K826" t="n">
        <v>4690</v>
      </c>
      <c r="L826" t="inlineStr">
        <is>
          <t>L-0720</t>
        </is>
      </c>
      <c r="M826">
        <f>F826-G826</f>
        <v/>
      </c>
      <c r="N826" s="2">
        <f>M826/F826</f>
        <v/>
      </c>
      <c r="O826" s="2">
        <f>I826*J826/60/M826</f>
        <v/>
      </c>
      <c r="P826" s="2">
        <f>K826/J826</f>
        <v/>
      </c>
      <c r="Q826" s="2">
        <f>N826*O826*P826</f>
        <v/>
      </c>
    </row>
    <row r="827">
      <c r="A827" t="inlineStr">
        <is>
          <t>2026-08-04</t>
        </is>
      </c>
      <c r="B827" t="inlineStr">
        <is>
          <t>주간</t>
        </is>
      </c>
      <c r="C827" t="inlineStr">
        <is>
          <t>P5</t>
        </is>
      </c>
      <c r="D827" t="inlineStr">
        <is>
          <t>검사</t>
        </is>
      </c>
      <c r="E827" t="inlineStr">
        <is>
          <t>IN-02</t>
        </is>
      </c>
      <c r="F827" t="n">
        <v>480</v>
      </c>
      <c r="G827" t="n">
        <v>9</v>
      </c>
      <c r="H827" t="inlineStr">
        <is>
          <t>측정기 교정</t>
        </is>
      </c>
      <c r="I827" t="n">
        <v>5.5</v>
      </c>
      <c r="J827" t="n">
        <v>4679</v>
      </c>
      <c r="K827" t="n">
        <v>4663</v>
      </c>
      <c r="L827" t="inlineStr">
        <is>
          <t>L-0720</t>
        </is>
      </c>
      <c r="M827">
        <f>F827-G827</f>
        <v/>
      </c>
      <c r="N827" s="2">
        <f>M827/F827</f>
        <v/>
      </c>
      <c r="O827" s="2">
        <f>I827*J827/60/M827</f>
        <v/>
      </c>
      <c r="P827" s="2">
        <f>K827/J827</f>
        <v/>
      </c>
      <c r="Q827" s="2">
        <f>N827*O827*P827</f>
        <v/>
      </c>
    </row>
    <row r="828">
      <c r="A828" t="inlineStr">
        <is>
          <t>2026-08-04</t>
        </is>
      </c>
      <c r="B828" t="inlineStr">
        <is>
          <t>주간</t>
        </is>
      </c>
      <c r="C828" t="inlineStr">
        <is>
          <t>P6</t>
        </is>
      </c>
      <c r="D828" t="inlineStr">
        <is>
          <t>포장</t>
        </is>
      </c>
      <c r="E828" t="inlineStr">
        <is>
          <t>PK-01</t>
        </is>
      </c>
      <c r="F828" t="n">
        <v>480</v>
      </c>
      <c r="G828" t="n">
        <v>29</v>
      </c>
      <c r="H828" t="inlineStr">
        <is>
          <t>라벨 교체</t>
        </is>
      </c>
      <c r="I828" t="n">
        <v>4.8</v>
      </c>
      <c r="J828" t="n">
        <v>5206</v>
      </c>
      <c r="K828" t="n">
        <v>5195</v>
      </c>
      <c r="L828" t="inlineStr">
        <is>
          <t>L-0720</t>
        </is>
      </c>
      <c r="M828">
        <f>F828-G828</f>
        <v/>
      </c>
      <c r="N828" s="2">
        <f>M828/F828</f>
        <v/>
      </c>
      <c r="O828" s="2">
        <f>I828*J828/60/M828</f>
        <v/>
      </c>
      <c r="P828" s="2">
        <f>K828/J828</f>
        <v/>
      </c>
      <c r="Q828" s="2">
        <f>N828*O828*P828</f>
        <v/>
      </c>
    </row>
    <row r="829">
      <c r="A829" t="inlineStr">
        <is>
          <t>2026-08-04</t>
        </is>
      </c>
      <c r="B829" t="inlineStr">
        <is>
          <t>주간</t>
        </is>
      </c>
      <c r="C829" t="inlineStr">
        <is>
          <t>P6</t>
        </is>
      </c>
      <c r="D829" t="inlineStr">
        <is>
          <t>포장</t>
        </is>
      </c>
      <c r="E829" t="inlineStr">
        <is>
          <t>PK-02</t>
        </is>
      </c>
      <c r="F829" t="n">
        <v>480</v>
      </c>
      <c r="G829" t="n">
        <v>13</v>
      </c>
      <c r="H829" t="inlineStr">
        <is>
          <t>라벨 교체</t>
        </is>
      </c>
      <c r="I829" t="n">
        <v>4.8</v>
      </c>
      <c r="J829" t="n">
        <v>5390</v>
      </c>
      <c r="K829" t="n">
        <v>5378</v>
      </c>
      <c r="L829" t="inlineStr">
        <is>
          <t>L-0720</t>
        </is>
      </c>
      <c r="M829">
        <f>F829-G829</f>
        <v/>
      </c>
      <c r="N829" s="2">
        <f>M829/F829</f>
        <v/>
      </c>
      <c r="O829" s="2">
        <f>I829*J829/60/M829</f>
        <v/>
      </c>
      <c r="P829" s="2">
        <f>K829/J829</f>
        <v/>
      </c>
      <c r="Q829" s="2">
        <f>N829*O829*P829</f>
        <v/>
      </c>
    </row>
    <row r="830">
      <c r="A830" t="inlineStr">
        <is>
          <t>2026-08-04</t>
        </is>
      </c>
      <c r="B830" t="inlineStr">
        <is>
          <t>야간</t>
        </is>
      </c>
      <c r="C830" t="inlineStr">
        <is>
          <t>P1</t>
        </is>
      </c>
      <c r="D830" t="inlineStr">
        <is>
          <t>원료혼합</t>
        </is>
      </c>
      <c r="E830" t="inlineStr">
        <is>
          <t>MX-01</t>
        </is>
      </c>
      <c r="F830" t="n">
        <v>480</v>
      </c>
      <c r="G830" t="n">
        <v>7</v>
      </c>
      <c r="H830" t="inlineStr">
        <is>
          <t>배합 확인</t>
        </is>
      </c>
      <c r="I830" t="n">
        <v>5</v>
      </c>
      <c r="J830" t="n">
        <v>5301</v>
      </c>
      <c r="K830" t="n">
        <v>5261</v>
      </c>
      <c r="L830" t="inlineStr">
        <is>
          <t>L-0720</t>
        </is>
      </c>
      <c r="M830">
        <f>F830-G830</f>
        <v/>
      </c>
      <c r="N830" s="2">
        <f>M830/F830</f>
        <v/>
      </c>
      <c r="O830" s="2">
        <f>I830*J830/60/M830</f>
        <v/>
      </c>
      <c r="P830" s="2">
        <f>K830/J830</f>
        <v/>
      </c>
      <c r="Q830" s="2">
        <f>N830*O830*P830</f>
        <v/>
      </c>
    </row>
    <row r="831">
      <c r="A831" t="inlineStr">
        <is>
          <t>2026-08-04</t>
        </is>
      </c>
      <c r="B831" t="inlineStr">
        <is>
          <t>야간</t>
        </is>
      </c>
      <c r="C831" t="inlineStr">
        <is>
          <t>P1</t>
        </is>
      </c>
      <c r="D831" t="inlineStr">
        <is>
          <t>원료혼합</t>
        </is>
      </c>
      <c r="E831" t="inlineStr">
        <is>
          <t>MX-02</t>
        </is>
      </c>
      <c r="F831" t="n">
        <v>480</v>
      </c>
      <c r="G831" t="n">
        <v>22</v>
      </c>
      <c r="H831" t="inlineStr">
        <is>
          <t>배합 확인</t>
        </is>
      </c>
      <c r="I831" t="n">
        <v>5</v>
      </c>
      <c r="J831" t="n">
        <v>5060</v>
      </c>
      <c r="K831" t="n">
        <v>5023</v>
      </c>
      <c r="L831" t="inlineStr">
        <is>
          <t>L-0720</t>
        </is>
      </c>
      <c r="M831">
        <f>F831-G831</f>
        <v/>
      </c>
      <c r="N831" s="2">
        <f>M831/F831</f>
        <v/>
      </c>
      <c r="O831" s="2">
        <f>I831*J831/60/M831</f>
        <v/>
      </c>
      <c r="P831" s="2">
        <f>K831/J831</f>
        <v/>
      </c>
      <c r="Q831" s="2">
        <f>N831*O831*P831</f>
        <v/>
      </c>
    </row>
    <row r="832">
      <c r="A832" t="inlineStr">
        <is>
          <t>2026-08-04</t>
        </is>
      </c>
      <c r="B832" t="inlineStr">
        <is>
          <t>야간</t>
        </is>
      </c>
      <c r="C832" t="inlineStr">
        <is>
          <t>P2</t>
        </is>
      </c>
      <c r="D832" t="inlineStr">
        <is>
          <t>성형</t>
        </is>
      </c>
      <c r="E832" t="inlineStr">
        <is>
          <t>PR-01</t>
        </is>
      </c>
      <c r="F832" t="n">
        <v>480</v>
      </c>
      <c r="G832" t="n">
        <v>1</v>
      </c>
      <c r="H832" t="inlineStr">
        <is>
          <t>금형 교체</t>
        </is>
      </c>
      <c r="I832" t="n">
        <v>6</v>
      </c>
      <c r="J832" t="n">
        <v>4543</v>
      </c>
      <c r="K832" t="n">
        <v>4480</v>
      </c>
      <c r="L832" t="inlineStr">
        <is>
          <t>L-0720</t>
        </is>
      </c>
      <c r="M832">
        <f>F832-G832</f>
        <v/>
      </c>
      <c r="N832" s="2">
        <f>M832/F832</f>
        <v/>
      </c>
      <c r="O832" s="2">
        <f>I832*J832/60/M832</f>
        <v/>
      </c>
      <c r="P832" s="2">
        <f>K832/J832</f>
        <v/>
      </c>
      <c r="Q832" s="2">
        <f>N832*O832*P832</f>
        <v/>
      </c>
    </row>
    <row r="833">
      <c r="A833" t="inlineStr">
        <is>
          <t>2026-08-04</t>
        </is>
      </c>
      <c r="B833" t="inlineStr">
        <is>
          <t>야간</t>
        </is>
      </c>
      <c r="C833" t="inlineStr">
        <is>
          <t>P2</t>
        </is>
      </c>
      <c r="D833" t="inlineStr">
        <is>
          <t>성형</t>
        </is>
      </c>
      <c r="E833" t="inlineStr">
        <is>
          <t>PR-02</t>
        </is>
      </c>
      <c r="F833" t="n">
        <v>480</v>
      </c>
      <c r="G833" t="n">
        <v>13</v>
      </c>
      <c r="H833" t="inlineStr">
        <is>
          <t>금형 교체</t>
        </is>
      </c>
      <c r="I833" t="n">
        <v>6</v>
      </c>
      <c r="J833" t="n">
        <v>4278</v>
      </c>
      <c r="K833" t="n">
        <v>4214</v>
      </c>
      <c r="L833" t="inlineStr">
        <is>
          <t>L-0720</t>
        </is>
      </c>
      <c r="M833">
        <f>F833-G833</f>
        <v/>
      </c>
      <c r="N833" s="2">
        <f>M833/F833</f>
        <v/>
      </c>
      <c r="O833" s="2">
        <f>I833*J833/60/M833</f>
        <v/>
      </c>
      <c r="P833" s="2">
        <f>K833/J833</f>
        <v/>
      </c>
      <c r="Q833" s="2">
        <f>N833*O833*P833</f>
        <v/>
      </c>
    </row>
    <row r="834">
      <c r="A834" t="inlineStr">
        <is>
          <t>2026-08-04</t>
        </is>
      </c>
      <c r="B834" t="inlineStr">
        <is>
          <t>야간</t>
        </is>
      </c>
      <c r="C834" t="inlineStr">
        <is>
          <t>P3</t>
        </is>
      </c>
      <c r="D834" t="inlineStr">
        <is>
          <t>소결</t>
        </is>
      </c>
      <c r="E834" t="inlineStr">
        <is>
          <t>SF-01</t>
        </is>
      </c>
      <c r="F834" t="n">
        <v>480</v>
      </c>
      <c r="G834" t="n">
        <v>50</v>
      </c>
      <c r="H834" t="inlineStr">
        <is>
          <t>장입 대기</t>
        </is>
      </c>
      <c r="I834" t="n">
        <v>6.5</v>
      </c>
      <c r="J834" t="n">
        <v>3510</v>
      </c>
      <c r="K834" t="n">
        <v>3439</v>
      </c>
      <c r="L834" t="inlineStr">
        <is>
          <t>L-0720</t>
        </is>
      </c>
      <c r="M834">
        <f>F834-G834</f>
        <v/>
      </c>
      <c r="N834" s="2">
        <f>M834/F834</f>
        <v/>
      </c>
      <c r="O834" s="2">
        <f>I834*J834/60/M834</f>
        <v/>
      </c>
      <c r="P834" s="2">
        <f>K834/J834</f>
        <v/>
      </c>
      <c r="Q834" s="2">
        <f>N834*O834*P834</f>
        <v/>
      </c>
    </row>
    <row r="835">
      <c r="A835" t="inlineStr">
        <is>
          <t>2026-08-04</t>
        </is>
      </c>
      <c r="B835" t="inlineStr">
        <is>
          <t>야간</t>
        </is>
      </c>
      <c r="C835" t="inlineStr">
        <is>
          <t>P3</t>
        </is>
      </c>
      <c r="D835" t="inlineStr">
        <is>
          <t>소결</t>
        </is>
      </c>
      <c r="E835" t="inlineStr">
        <is>
          <t>SF-02</t>
        </is>
      </c>
      <c r="F835" t="n">
        <v>480</v>
      </c>
      <c r="G835" t="n">
        <v>29</v>
      </c>
      <c r="H835" t="inlineStr">
        <is>
          <t>장입 대기</t>
        </is>
      </c>
      <c r="I835" t="n">
        <v>6.5</v>
      </c>
      <c r="J835" t="n">
        <v>3901</v>
      </c>
      <c r="K835" t="n">
        <v>3837</v>
      </c>
      <c r="L835" t="inlineStr">
        <is>
          <t>L-0720</t>
        </is>
      </c>
      <c r="M835">
        <f>F835-G835</f>
        <v/>
      </c>
      <c r="N835" s="2">
        <f>M835/F835</f>
        <v/>
      </c>
      <c r="O835" s="2">
        <f>I835*J835/60/M835</f>
        <v/>
      </c>
      <c r="P835" s="2">
        <f>K835/J835</f>
        <v/>
      </c>
      <c r="Q835" s="2">
        <f>N835*O835*P835</f>
        <v/>
      </c>
    </row>
    <row r="836">
      <c r="A836" t="inlineStr">
        <is>
          <t>2026-08-04</t>
        </is>
      </c>
      <c r="B836" t="inlineStr">
        <is>
          <t>야간</t>
        </is>
      </c>
      <c r="C836" t="inlineStr">
        <is>
          <t>P4</t>
        </is>
      </c>
      <c r="D836" t="inlineStr">
        <is>
          <t>연삭</t>
        </is>
      </c>
      <c r="E836" t="inlineStr">
        <is>
          <t>GR-01</t>
        </is>
      </c>
      <c r="F836" t="n">
        <v>480</v>
      </c>
      <c r="G836" t="n">
        <v>58</v>
      </c>
      <c r="H836" t="inlineStr">
        <is>
          <t>드레싱</t>
        </is>
      </c>
      <c r="I836" t="n">
        <v>6.2</v>
      </c>
      <c r="J836" t="n">
        <v>3825</v>
      </c>
      <c r="K836" t="n">
        <v>3791</v>
      </c>
      <c r="L836" t="inlineStr">
        <is>
          <t>L-0720</t>
        </is>
      </c>
      <c r="M836">
        <f>F836-G836</f>
        <v/>
      </c>
      <c r="N836" s="2">
        <f>M836/F836</f>
        <v/>
      </c>
      <c r="O836" s="2">
        <f>I836*J836/60/M836</f>
        <v/>
      </c>
      <c r="P836" s="2">
        <f>K836/J836</f>
        <v/>
      </c>
      <c r="Q836" s="2">
        <f>N836*O836*P836</f>
        <v/>
      </c>
    </row>
    <row r="837">
      <c r="A837" t="inlineStr">
        <is>
          <t>2026-08-04</t>
        </is>
      </c>
      <c r="B837" t="inlineStr">
        <is>
          <t>야간</t>
        </is>
      </c>
      <c r="C837" t="inlineStr">
        <is>
          <t>P4</t>
        </is>
      </c>
      <c r="D837" t="inlineStr">
        <is>
          <t>연삭</t>
        </is>
      </c>
      <c r="E837" t="inlineStr">
        <is>
          <t>GR-02</t>
        </is>
      </c>
      <c r="F837" t="n">
        <v>480</v>
      </c>
      <c r="G837" t="n">
        <v>64</v>
      </c>
      <c r="H837" t="inlineStr">
        <is>
          <t>공구 교체</t>
        </is>
      </c>
      <c r="I837" t="n">
        <v>6.2</v>
      </c>
      <c r="J837" t="n">
        <v>3528</v>
      </c>
      <c r="K837" t="n">
        <v>3489</v>
      </c>
      <c r="L837" t="inlineStr">
        <is>
          <t>L-0720</t>
        </is>
      </c>
      <c r="M837">
        <f>F837-G837</f>
        <v/>
      </c>
      <c r="N837" s="2">
        <f>M837/F837</f>
        <v/>
      </c>
      <c r="O837" s="2">
        <f>I837*J837/60/M837</f>
        <v/>
      </c>
      <c r="P837" s="2">
        <f>K837/J837</f>
        <v/>
      </c>
      <c r="Q837" s="2">
        <f>N837*O837*P837</f>
        <v/>
      </c>
    </row>
    <row r="838">
      <c r="A838" t="inlineStr">
        <is>
          <t>2026-08-04</t>
        </is>
      </c>
      <c r="B838" t="inlineStr">
        <is>
          <t>야간</t>
        </is>
      </c>
      <c r="C838" t="inlineStr">
        <is>
          <t>P5</t>
        </is>
      </c>
      <c r="D838" t="inlineStr">
        <is>
          <t>검사</t>
        </is>
      </c>
      <c r="E838" t="inlineStr">
        <is>
          <t>IN-01</t>
        </is>
      </c>
      <c r="F838" t="n">
        <v>480</v>
      </c>
      <c r="G838" t="n">
        <v>28</v>
      </c>
      <c r="H838" t="inlineStr">
        <is>
          <t>샘플 재검</t>
        </is>
      </c>
      <c r="I838" t="n">
        <v>5.5</v>
      </c>
      <c r="J838" t="n">
        <v>4426</v>
      </c>
      <c r="K838" t="n">
        <v>4408</v>
      </c>
      <c r="L838" t="inlineStr">
        <is>
          <t>L-0720</t>
        </is>
      </c>
      <c r="M838">
        <f>F838-G838</f>
        <v/>
      </c>
      <c r="N838" s="2">
        <f>M838/F838</f>
        <v/>
      </c>
      <c r="O838" s="2">
        <f>I838*J838/60/M838</f>
        <v/>
      </c>
      <c r="P838" s="2">
        <f>K838/J838</f>
        <v/>
      </c>
      <c r="Q838" s="2">
        <f>N838*O838*P838</f>
        <v/>
      </c>
    </row>
    <row r="839">
      <c r="A839" t="inlineStr">
        <is>
          <t>2026-08-04</t>
        </is>
      </c>
      <c r="B839" t="inlineStr">
        <is>
          <t>야간</t>
        </is>
      </c>
      <c r="C839" t="inlineStr">
        <is>
          <t>P5</t>
        </is>
      </c>
      <c r="D839" t="inlineStr">
        <is>
          <t>검사</t>
        </is>
      </c>
      <c r="E839" t="inlineStr">
        <is>
          <t>IN-02</t>
        </is>
      </c>
      <c r="F839" t="n">
        <v>480</v>
      </c>
      <c r="G839" t="n">
        <v>57</v>
      </c>
      <c r="H839" t="inlineStr">
        <is>
          <t>샘플 재검</t>
        </is>
      </c>
      <c r="I839" t="n">
        <v>5.5</v>
      </c>
      <c r="J839" t="n">
        <v>4298</v>
      </c>
      <c r="K839" t="n">
        <v>4277</v>
      </c>
      <c r="L839" t="inlineStr">
        <is>
          <t>L-0720</t>
        </is>
      </c>
      <c r="M839">
        <f>F839-G839</f>
        <v/>
      </c>
      <c r="N839" s="2">
        <f>M839/F839</f>
        <v/>
      </c>
      <c r="O839" s="2">
        <f>I839*J839/60/M839</f>
        <v/>
      </c>
      <c r="P839" s="2">
        <f>K839/J839</f>
        <v/>
      </c>
      <c r="Q839" s="2">
        <f>N839*O839*P839</f>
        <v/>
      </c>
    </row>
    <row r="840">
      <c r="A840" t="inlineStr">
        <is>
          <t>2026-08-04</t>
        </is>
      </c>
      <c r="B840" t="inlineStr">
        <is>
          <t>야간</t>
        </is>
      </c>
      <c r="C840" t="inlineStr">
        <is>
          <t>P6</t>
        </is>
      </c>
      <c r="D840" t="inlineStr">
        <is>
          <t>포장</t>
        </is>
      </c>
      <c r="E840" t="inlineStr">
        <is>
          <t>PK-01</t>
        </is>
      </c>
      <c r="F840" t="n">
        <v>480</v>
      </c>
      <c r="G840" t="n">
        <v>19</v>
      </c>
      <c r="H840" t="inlineStr">
        <is>
          <t>자재 대기</t>
        </is>
      </c>
      <c r="I840" t="n">
        <v>4.8</v>
      </c>
      <c r="J840" t="n">
        <v>5311</v>
      </c>
      <c r="K840" t="n">
        <v>5295</v>
      </c>
      <c r="L840" t="inlineStr">
        <is>
          <t>L-0720</t>
        </is>
      </c>
      <c r="M840">
        <f>F840-G840</f>
        <v/>
      </c>
      <c r="N840" s="2">
        <f>M840/F840</f>
        <v/>
      </c>
      <c r="O840" s="2">
        <f>I840*J840/60/M840</f>
        <v/>
      </c>
      <c r="P840" s="2">
        <f>K840/J840</f>
        <v/>
      </c>
      <c r="Q840" s="2">
        <f>N840*O840*P840</f>
        <v/>
      </c>
    </row>
    <row r="841">
      <c r="A841" t="inlineStr">
        <is>
          <t>2026-08-04</t>
        </is>
      </c>
      <c r="B841" t="inlineStr">
        <is>
          <t>야간</t>
        </is>
      </c>
      <c r="C841" t="inlineStr">
        <is>
          <t>P6</t>
        </is>
      </c>
      <c r="D841" t="inlineStr">
        <is>
          <t>포장</t>
        </is>
      </c>
      <c r="E841" t="inlineStr">
        <is>
          <t>PK-02</t>
        </is>
      </c>
      <c r="F841" t="n">
        <v>480</v>
      </c>
      <c r="G841" t="n">
        <v>31</v>
      </c>
      <c r="H841" t="inlineStr">
        <is>
          <t>라벨 교체</t>
        </is>
      </c>
      <c r="I841" t="n">
        <v>4.8</v>
      </c>
      <c r="J841" t="n">
        <v>5279</v>
      </c>
      <c r="K841" t="n">
        <v>5264</v>
      </c>
      <c r="L841" t="inlineStr">
        <is>
          <t>L-0720</t>
        </is>
      </c>
      <c r="M841">
        <f>F841-G841</f>
        <v/>
      </c>
      <c r="N841" s="2">
        <f>M841/F841</f>
        <v/>
      </c>
      <c r="O841" s="2">
        <f>I841*J841/60/M841</f>
        <v/>
      </c>
      <c r="P841" s="2">
        <f>K841/J841</f>
        <v/>
      </c>
      <c r="Q841" s="2">
        <f>N841*O841*P841</f>
        <v/>
      </c>
    </row>
    <row r="842">
      <c r="A842" t="inlineStr">
        <is>
          <t>2026-08-05</t>
        </is>
      </c>
      <c r="B842" t="inlineStr">
        <is>
          <t>주간</t>
        </is>
      </c>
      <c r="C842" t="inlineStr">
        <is>
          <t>P1</t>
        </is>
      </c>
      <c r="D842" t="inlineStr">
        <is>
          <t>원료혼합</t>
        </is>
      </c>
      <c r="E842" t="inlineStr">
        <is>
          <t>MX-01</t>
        </is>
      </c>
      <c r="F842" t="n">
        <v>480</v>
      </c>
      <c r="G842" t="n">
        <v>15</v>
      </c>
      <c r="H842" t="inlineStr">
        <is>
          <t>청소</t>
        </is>
      </c>
      <c r="I842" t="n">
        <v>5</v>
      </c>
      <c r="J842" t="n">
        <v>5213</v>
      </c>
      <c r="K842" t="n">
        <v>5180</v>
      </c>
      <c r="L842" t="inlineStr">
        <is>
          <t>L-0720</t>
        </is>
      </c>
      <c r="M842">
        <f>F842-G842</f>
        <v/>
      </c>
      <c r="N842" s="2">
        <f>M842/F842</f>
        <v/>
      </c>
      <c r="O842" s="2">
        <f>I842*J842/60/M842</f>
        <v/>
      </c>
      <c r="P842" s="2">
        <f>K842/J842</f>
        <v/>
      </c>
      <c r="Q842" s="2">
        <f>N842*O842*P842</f>
        <v/>
      </c>
    </row>
    <row r="843">
      <c r="A843" t="inlineStr">
        <is>
          <t>2026-08-05</t>
        </is>
      </c>
      <c r="B843" t="inlineStr">
        <is>
          <t>주간</t>
        </is>
      </c>
      <c r="C843" t="inlineStr">
        <is>
          <t>P1</t>
        </is>
      </c>
      <c r="D843" t="inlineStr">
        <is>
          <t>원료혼합</t>
        </is>
      </c>
      <c r="E843" t="inlineStr">
        <is>
          <t>MX-02</t>
        </is>
      </c>
      <c r="F843" t="n">
        <v>480</v>
      </c>
      <c r="G843" t="n">
        <v>12</v>
      </c>
      <c r="H843" t="inlineStr">
        <is>
          <t>원료 대기</t>
        </is>
      </c>
      <c r="I843" t="n">
        <v>5</v>
      </c>
      <c r="J843" t="n">
        <v>5071</v>
      </c>
      <c r="K843" t="n">
        <v>5046</v>
      </c>
      <c r="L843" t="inlineStr">
        <is>
          <t>L-0720</t>
        </is>
      </c>
      <c r="M843">
        <f>F843-G843</f>
        <v/>
      </c>
      <c r="N843" s="2">
        <f>M843/F843</f>
        <v/>
      </c>
      <c r="O843" s="2">
        <f>I843*J843/60/M843</f>
        <v/>
      </c>
      <c r="P843" s="2">
        <f>K843/J843</f>
        <v/>
      </c>
      <c r="Q843" s="2">
        <f>N843*O843*P843</f>
        <v/>
      </c>
    </row>
    <row r="844">
      <c r="A844" t="inlineStr">
        <is>
          <t>2026-08-05</t>
        </is>
      </c>
      <c r="B844" t="inlineStr">
        <is>
          <t>주간</t>
        </is>
      </c>
      <c r="C844" t="inlineStr">
        <is>
          <t>P2</t>
        </is>
      </c>
      <c r="D844" t="inlineStr">
        <is>
          <t>성형</t>
        </is>
      </c>
      <c r="E844" t="inlineStr">
        <is>
          <t>PR-01</t>
        </is>
      </c>
      <c r="F844" t="n">
        <v>480</v>
      </c>
      <c r="G844" t="n">
        <v>53</v>
      </c>
      <c r="H844" t="inlineStr">
        <is>
          <t>분말 공급 지연</t>
        </is>
      </c>
      <c r="I844" t="n">
        <v>6</v>
      </c>
      <c r="J844" t="n">
        <v>3768</v>
      </c>
      <c r="K844" t="n">
        <v>3717</v>
      </c>
      <c r="L844" t="inlineStr">
        <is>
          <t>L-0720</t>
        </is>
      </c>
      <c r="M844">
        <f>F844-G844</f>
        <v/>
      </c>
      <c r="N844" s="2">
        <f>M844/F844</f>
        <v/>
      </c>
      <c r="O844" s="2">
        <f>I844*J844/60/M844</f>
        <v/>
      </c>
      <c r="P844" s="2">
        <f>K844/J844</f>
        <v/>
      </c>
      <c r="Q844" s="2">
        <f>N844*O844*P844</f>
        <v/>
      </c>
    </row>
    <row r="845">
      <c r="A845" t="inlineStr">
        <is>
          <t>2026-08-05</t>
        </is>
      </c>
      <c r="B845" t="inlineStr">
        <is>
          <t>주간</t>
        </is>
      </c>
      <c r="C845" t="inlineStr">
        <is>
          <t>P2</t>
        </is>
      </c>
      <c r="D845" t="inlineStr">
        <is>
          <t>성형</t>
        </is>
      </c>
      <c r="E845" t="inlineStr">
        <is>
          <t>PR-02</t>
        </is>
      </c>
      <c r="F845" t="n">
        <v>480</v>
      </c>
      <c r="G845" t="n">
        <v>28</v>
      </c>
      <c r="H845" t="inlineStr">
        <is>
          <t>압력 이상</t>
        </is>
      </c>
      <c r="I845" t="n">
        <v>6</v>
      </c>
      <c r="J845" t="n">
        <v>4251</v>
      </c>
      <c r="K845" t="n">
        <v>4199</v>
      </c>
      <c r="L845" t="inlineStr">
        <is>
          <t>L-0720</t>
        </is>
      </c>
      <c r="M845">
        <f>F845-G845</f>
        <v/>
      </c>
      <c r="N845" s="2">
        <f>M845/F845</f>
        <v/>
      </c>
      <c r="O845" s="2">
        <f>I845*J845/60/M845</f>
        <v/>
      </c>
      <c r="P845" s="2">
        <f>K845/J845</f>
        <v/>
      </c>
      <c r="Q845" s="2">
        <f>N845*O845*P845</f>
        <v/>
      </c>
    </row>
    <row r="846">
      <c r="A846" t="inlineStr">
        <is>
          <t>2026-08-05</t>
        </is>
      </c>
      <c r="B846" t="inlineStr">
        <is>
          <t>주간</t>
        </is>
      </c>
      <c r="C846" t="inlineStr">
        <is>
          <t>P3</t>
        </is>
      </c>
      <c r="D846" t="inlineStr">
        <is>
          <t>소결</t>
        </is>
      </c>
      <c r="E846" t="inlineStr">
        <is>
          <t>SF-01</t>
        </is>
      </c>
      <c r="F846" t="n">
        <v>480</v>
      </c>
      <c r="G846" t="n">
        <v>23</v>
      </c>
      <c r="H846" t="inlineStr">
        <is>
          <t>재가열</t>
        </is>
      </c>
      <c r="I846" t="n">
        <v>6.5</v>
      </c>
      <c r="J846" t="n">
        <v>4040</v>
      </c>
      <c r="K846" t="n">
        <v>3958</v>
      </c>
      <c r="L846" t="inlineStr">
        <is>
          <t>L-0720</t>
        </is>
      </c>
      <c r="M846">
        <f>F846-G846</f>
        <v/>
      </c>
      <c r="N846" s="2">
        <f>M846/F846</f>
        <v/>
      </c>
      <c r="O846" s="2">
        <f>I846*J846/60/M846</f>
        <v/>
      </c>
      <c r="P846" s="2">
        <f>K846/J846</f>
        <v/>
      </c>
      <c r="Q846" s="2">
        <f>N846*O846*P846</f>
        <v/>
      </c>
    </row>
    <row r="847">
      <c r="A847" t="inlineStr">
        <is>
          <t>2026-08-05</t>
        </is>
      </c>
      <c r="B847" t="inlineStr">
        <is>
          <t>주간</t>
        </is>
      </c>
      <c r="C847" t="inlineStr">
        <is>
          <t>P3</t>
        </is>
      </c>
      <c r="D847" t="inlineStr">
        <is>
          <t>소결</t>
        </is>
      </c>
      <c r="E847" t="inlineStr">
        <is>
          <t>SF-02</t>
        </is>
      </c>
      <c r="F847" t="n">
        <v>480</v>
      </c>
      <c r="G847" t="n">
        <v>39</v>
      </c>
      <c r="H847" t="inlineStr">
        <is>
          <t>재가열</t>
        </is>
      </c>
      <c r="I847" t="n">
        <v>6.5</v>
      </c>
      <c r="J847" t="n">
        <v>3807</v>
      </c>
      <c r="K847" t="n">
        <v>3737</v>
      </c>
      <c r="L847" t="inlineStr">
        <is>
          <t>L-0720</t>
        </is>
      </c>
      <c r="M847">
        <f>F847-G847</f>
        <v/>
      </c>
      <c r="N847" s="2">
        <f>M847/F847</f>
        <v/>
      </c>
      <c r="O847" s="2">
        <f>I847*J847/60/M847</f>
        <v/>
      </c>
      <c r="P847" s="2">
        <f>K847/J847</f>
        <v/>
      </c>
      <c r="Q847" s="2">
        <f>N847*O847*P847</f>
        <v/>
      </c>
    </row>
    <row r="848">
      <c r="A848" t="inlineStr">
        <is>
          <t>2026-08-05</t>
        </is>
      </c>
      <c r="B848" t="inlineStr">
        <is>
          <t>주간</t>
        </is>
      </c>
      <c r="C848" t="inlineStr">
        <is>
          <t>P4</t>
        </is>
      </c>
      <c r="D848" t="inlineStr">
        <is>
          <t>연삭</t>
        </is>
      </c>
      <c r="E848" t="inlineStr">
        <is>
          <t>GR-01</t>
        </is>
      </c>
      <c r="F848" t="n">
        <v>480</v>
      </c>
      <c r="G848" t="n">
        <v>41</v>
      </c>
      <c r="H848" t="inlineStr">
        <is>
          <t>드레싱</t>
        </is>
      </c>
      <c r="I848" t="n">
        <v>6.2</v>
      </c>
      <c r="J848" t="n">
        <v>3850</v>
      </c>
      <c r="K848" t="n">
        <v>3806</v>
      </c>
      <c r="L848" t="inlineStr">
        <is>
          <t>L-0720</t>
        </is>
      </c>
      <c r="M848">
        <f>F848-G848</f>
        <v/>
      </c>
      <c r="N848" s="2">
        <f>M848/F848</f>
        <v/>
      </c>
      <c r="O848" s="2">
        <f>I848*J848/60/M848</f>
        <v/>
      </c>
      <c r="P848" s="2">
        <f>K848/J848</f>
        <v/>
      </c>
      <c r="Q848" s="2">
        <f>N848*O848*P848</f>
        <v/>
      </c>
    </row>
    <row r="849">
      <c r="A849" t="inlineStr">
        <is>
          <t>2026-08-05</t>
        </is>
      </c>
      <c r="B849" t="inlineStr">
        <is>
          <t>주간</t>
        </is>
      </c>
      <c r="C849" t="inlineStr">
        <is>
          <t>P4</t>
        </is>
      </c>
      <c r="D849" t="inlineStr">
        <is>
          <t>연삭</t>
        </is>
      </c>
      <c r="E849" t="inlineStr">
        <is>
          <t>GR-02</t>
        </is>
      </c>
      <c r="F849" t="n">
        <v>480</v>
      </c>
      <c r="G849" t="n">
        <v>48</v>
      </c>
      <c r="H849" t="inlineStr">
        <is>
          <t>드레싱</t>
        </is>
      </c>
      <c r="I849" t="n">
        <v>6.2</v>
      </c>
      <c r="J849" t="n">
        <v>3853</v>
      </c>
      <c r="K849" t="n">
        <v>3810</v>
      </c>
      <c r="L849" t="inlineStr">
        <is>
          <t>L-0720</t>
        </is>
      </c>
      <c r="M849">
        <f>F849-G849</f>
        <v/>
      </c>
      <c r="N849" s="2">
        <f>M849/F849</f>
        <v/>
      </c>
      <c r="O849" s="2">
        <f>I849*J849/60/M849</f>
        <v/>
      </c>
      <c r="P849" s="2">
        <f>K849/J849</f>
        <v/>
      </c>
      <c r="Q849" s="2">
        <f>N849*O849*P849</f>
        <v/>
      </c>
    </row>
    <row r="850">
      <c r="A850" t="inlineStr">
        <is>
          <t>2026-08-05</t>
        </is>
      </c>
      <c r="B850" t="inlineStr">
        <is>
          <t>주간</t>
        </is>
      </c>
      <c r="C850" t="inlineStr">
        <is>
          <t>P5</t>
        </is>
      </c>
      <c r="D850" t="inlineStr">
        <is>
          <t>검사</t>
        </is>
      </c>
      <c r="E850" t="inlineStr">
        <is>
          <t>IN-01</t>
        </is>
      </c>
      <c r="F850" t="n">
        <v>480</v>
      </c>
      <c r="G850" t="n">
        <v>19</v>
      </c>
      <c r="H850" t="inlineStr">
        <is>
          <t>측정기 교정</t>
        </is>
      </c>
      <c r="I850" t="n">
        <v>5.5</v>
      </c>
      <c r="J850" t="n">
        <v>4757</v>
      </c>
      <c r="K850" t="n">
        <v>4745</v>
      </c>
      <c r="L850" t="inlineStr">
        <is>
          <t>L-0720</t>
        </is>
      </c>
      <c r="M850">
        <f>F850-G850</f>
        <v/>
      </c>
      <c r="N850" s="2">
        <f>M850/F850</f>
        <v/>
      </c>
      <c r="O850" s="2">
        <f>I850*J850/60/M850</f>
        <v/>
      </c>
      <c r="P850" s="2">
        <f>K850/J850</f>
        <v/>
      </c>
      <c r="Q850" s="2">
        <f>N850*O850*P850</f>
        <v/>
      </c>
    </row>
    <row r="851">
      <c r="A851" t="inlineStr">
        <is>
          <t>2026-08-05</t>
        </is>
      </c>
      <c r="B851" t="inlineStr">
        <is>
          <t>주간</t>
        </is>
      </c>
      <c r="C851" t="inlineStr">
        <is>
          <t>P5</t>
        </is>
      </c>
      <c r="D851" t="inlineStr">
        <is>
          <t>검사</t>
        </is>
      </c>
      <c r="E851" t="inlineStr">
        <is>
          <t>IN-02</t>
        </is>
      </c>
      <c r="F851" t="n">
        <v>480</v>
      </c>
      <c r="G851" t="n">
        <v>12</v>
      </c>
      <c r="H851" t="inlineStr">
        <is>
          <t>측정기 교정</t>
        </is>
      </c>
      <c r="I851" t="n">
        <v>5.5</v>
      </c>
      <c r="J851" t="n">
        <v>4763</v>
      </c>
      <c r="K851" t="n">
        <v>4751</v>
      </c>
      <c r="L851" t="inlineStr">
        <is>
          <t>L-0720</t>
        </is>
      </c>
      <c r="M851">
        <f>F851-G851</f>
        <v/>
      </c>
      <c r="N851" s="2">
        <f>M851/F851</f>
        <v/>
      </c>
      <c r="O851" s="2">
        <f>I851*J851/60/M851</f>
        <v/>
      </c>
      <c r="P851" s="2">
        <f>K851/J851</f>
        <v/>
      </c>
      <c r="Q851" s="2">
        <f>N851*O851*P851</f>
        <v/>
      </c>
    </row>
    <row r="852">
      <c r="A852" t="inlineStr">
        <is>
          <t>2026-08-05</t>
        </is>
      </c>
      <c r="B852" t="inlineStr">
        <is>
          <t>주간</t>
        </is>
      </c>
      <c r="C852" t="inlineStr">
        <is>
          <t>P6</t>
        </is>
      </c>
      <c r="D852" t="inlineStr">
        <is>
          <t>포장</t>
        </is>
      </c>
      <c r="E852" t="inlineStr">
        <is>
          <t>PK-01</t>
        </is>
      </c>
      <c r="F852" t="n">
        <v>480</v>
      </c>
      <c r="G852" t="n">
        <v>9</v>
      </c>
      <c r="H852" t="inlineStr">
        <is>
          <t>자재 대기</t>
        </is>
      </c>
      <c r="I852" t="n">
        <v>4.8</v>
      </c>
      <c r="J852" t="n">
        <v>5220</v>
      </c>
      <c r="K852" t="n">
        <v>5208</v>
      </c>
      <c r="L852" t="inlineStr">
        <is>
          <t>L-0720</t>
        </is>
      </c>
      <c r="M852">
        <f>F852-G852</f>
        <v/>
      </c>
      <c r="N852" s="2">
        <f>M852/F852</f>
        <v/>
      </c>
      <c r="O852" s="2">
        <f>I852*J852/60/M852</f>
        <v/>
      </c>
      <c r="P852" s="2">
        <f>K852/J852</f>
        <v/>
      </c>
      <c r="Q852" s="2">
        <f>N852*O852*P852</f>
        <v/>
      </c>
    </row>
    <row r="853">
      <c r="A853" t="inlineStr">
        <is>
          <t>2026-08-05</t>
        </is>
      </c>
      <c r="B853" t="inlineStr">
        <is>
          <t>주간</t>
        </is>
      </c>
      <c r="C853" t="inlineStr">
        <is>
          <t>P6</t>
        </is>
      </c>
      <c r="D853" t="inlineStr">
        <is>
          <t>포장</t>
        </is>
      </c>
      <c r="E853" t="inlineStr">
        <is>
          <t>PK-02</t>
        </is>
      </c>
      <c r="F853" t="n">
        <v>480</v>
      </c>
      <c r="G853" t="n">
        <v>19</v>
      </c>
      <c r="H853" t="inlineStr">
        <is>
          <t>라벨 교체</t>
        </is>
      </c>
      <c r="I853" t="n">
        <v>4.8</v>
      </c>
      <c r="J853" t="n">
        <v>5212</v>
      </c>
      <c r="K853" t="n">
        <v>5204</v>
      </c>
      <c r="L853" t="inlineStr">
        <is>
          <t>L-0720</t>
        </is>
      </c>
      <c r="M853">
        <f>F853-G853</f>
        <v/>
      </c>
      <c r="N853" s="2">
        <f>M853/F853</f>
        <v/>
      </c>
      <c r="O853" s="2">
        <f>I853*J853/60/M853</f>
        <v/>
      </c>
      <c r="P853" s="2">
        <f>K853/J853</f>
        <v/>
      </c>
      <c r="Q853" s="2">
        <f>N853*O853*P853</f>
        <v/>
      </c>
    </row>
    <row r="854">
      <c r="A854" t="inlineStr">
        <is>
          <t>2026-08-05</t>
        </is>
      </c>
      <c r="B854" t="inlineStr">
        <is>
          <t>야간</t>
        </is>
      </c>
      <c r="C854" t="inlineStr">
        <is>
          <t>P1</t>
        </is>
      </c>
      <c r="D854" t="inlineStr">
        <is>
          <t>원료혼합</t>
        </is>
      </c>
      <c r="E854" t="inlineStr">
        <is>
          <t>MX-01</t>
        </is>
      </c>
      <c r="F854" t="n">
        <v>480</v>
      </c>
      <c r="G854" t="n">
        <v>22</v>
      </c>
      <c r="H854" t="inlineStr">
        <is>
          <t>원료 대기</t>
        </is>
      </c>
      <c r="I854" t="n">
        <v>5</v>
      </c>
      <c r="J854" t="n">
        <v>5278</v>
      </c>
      <c r="K854" t="n">
        <v>5242</v>
      </c>
      <c r="L854" t="inlineStr">
        <is>
          <t>L-0720</t>
        </is>
      </c>
      <c r="M854">
        <f>F854-G854</f>
        <v/>
      </c>
      <c r="N854" s="2">
        <f>M854/F854</f>
        <v/>
      </c>
      <c r="O854" s="2">
        <f>I854*J854/60/M854</f>
        <v/>
      </c>
      <c r="P854" s="2">
        <f>K854/J854</f>
        <v/>
      </c>
      <c r="Q854" s="2">
        <f>N854*O854*P854</f>
        <v/>
      </c>
    </row>
    <row r="855">
      <c r="A855" t="inlineStr">
        <is>
          <t>2026-08-05</t>
        </is>
      </c>
      <c r="B855" t="inlineStr">
        <is>
          <t>야간</t>
        </is>
      </c>
      <c r="C855" t="inlineStr">
        <is>
          <t>P1</t>
        </is>
      </c>
      <c r="D855" t="inlineStr">
        <is>
          <t>원료혼합</t>
        </is>
      </c>
      <c r="E855" t="inlineStr">
        <is>
          <t>MX-02</t>
        </is>
      </c>
      <c r="F855" t="n">
        <v>480</v>
      </c>
      <c r="G855" t="n">
        <v>38</v>
      </c>
      <c r="H855" t="inlineStr">
        <is>
          <t>청소</t>
        </is>
      </c>
      <c r="I855" t="n">
        <v>5</v>
      </c>
      <c r="J855" t="n">
        <v>5037</v>
      </c>
      <c r="K855" t="n">
        <v>5002</v>
      </c>
      <c r="L855" t="inlineStr">
        <is>
          <t>L-0720</t>
        </is>
      </c>
      <c r="M855">
        <f>F855-G855</f>
        <v/>
      </c>
      <c r="N855" s="2">
        <f>M855/F855</f>
        <v/>
      </c>
      <c r="O855" s="2">
        <f>I855*J855/60/M855</f>
        <v/>
      </c>
      <c r="P855" s="2">
        <f>K855/J855</f>
        <v/>
      </c>
      <c r="Q855" s="2">
        <f>N855*O855*P855</f>
        <v/>
      </c>
    </row>
    <row r="856">
      <c r="A856" t="inlineStr">
        <is>
          <t>2026-08-05</t>
        </is>
      </c>
      <c r="B856" t="inlineStr">
        <is>
          <t>야간</t>
        </is>
      </c>
      <c r="C856" t="inlineStr">
        <is>
          <t>P2</t>
        </is>
      </c>
      <c r="D856" t="inlineStr">
        <is>
          <t>성형</t>
        </is>
      </c>
      <c r="E856" t="inlineStr">
        <is>
          <t>PR-01</t>
        </is>
      </c>
      <c r="F856" t="n">
        <v>480</v>
      </c>
      <c r="G856" t="n">
        <v>9</v>
      </c>
      <c r="H856" t="inlineStr">
        <is>
          <t>압력 이상</t>
        </is>
      </c>
      <c r="I856" t="n">
        <v>6</v>
      </c>
      <c r="J856" t="n">
        <v>4312</v>
      </c>
      <c r="K856" t="n">
        <v>4263</v>
      </c>
      <c r="L856" t="inlineStr">
        <is>
          <t>L-0720</t>
        </is>
      </c>
      <c r="M856">
        <f>F856-G856</f>
        <v/>
      </c>
      <c r="N856" s="2">
        <f>M856/F856</f>
        <v/>
      </c>
      <c r="O856" s="2">
        <f>I856*J856/60/M856</f>
        <v/>
      </c>
      <c r="P856" s="2">
        <f>K856/J856</f>
        <v/>
      </c>
      <c r="Q856" s="2">
        <f>N856*O856*P856</f>
        <v/>
      </c>
    </row>
    <row r="857">
      <c r="A857" t="inlineStr">
        <is>
          <t>2026-08-05</t>
        </is>
      </c>
      <c r="B857" t="inlineStr">
        <is>
          <t>야간</t>
        </is>
      </c>
      <c r="C857" t="inlineStr">
        <is>
          <t>P2</t>
        </is>
      </c>
      <c r="D857" t="inlineStr">
        <is>
          <t>성형</t>
        </is>
      </c>
      <c r="E857" t="inlineStr">
        <is>
          <t>PR-02</t>
        </is>
      </c>
      <c r="F857" t="n">
        <v>480</v>
      </c>
      <c r="G857" t="n">
        <v>13</v>
      </c>
      <c r="H857" t="inlineStr">
        <is>
          <t>분말 공급 지연</t>
        </is>
      </c>
      <c r="I857" t="n">
        <v>6</v>
      </c>
      <c r="J857" t="n">
        <v>4094</v>
      </c>
      <c r="K857" t="n">
        <v>4044</v>
      </c>
      <c r="L857" t="inlineStr">
        <is>
          <t>L-0720</t>
        </is>
      </c>
      <c r="M857">
        <f>F857-G857</f>
        <v/>
      </c>
      <c r="N857" s="2">
        <f>M857/F857</f>
        <v/>
      </c>
      <c r="O857" s="2">
        <f>I857*J857/60/M857</f>
        <v/>
      </c>
      <c r="P857" s="2">
        <f>K857/J857</f>
        <v/>
      </c>
      <c r="Q857" s="2">
        <f>N857*O857*P857</f>
        <v/>
      </c>
    </row>
    <row r="858">
      <c r="A858" t="inlineStr">
        <is>
          <t>2026-08-05</t>
        </is>
      </c>
      <c r="B858" t="inlineStr">
        <is>
          <t>야간</t>
        </is>
      </c>
      <c r="C858" t="inlineStr">
        <is>
          <t>P3</t>
        </is>
      </c>
      <c r="D858" t="inlineStr">
        <is>
          <t>소결</t>
        </is>
      </c>
      <c r="E858" t="inlineStr">
        <is>
          <t>SF-01</t>
        </is>
      </c>
      <c r="F858" t="n">
        <v>480</v>
      </c>
      <c r="G858" t="n">
        <v>53</v>
      </c>
      <c r="H858" t="inlineStr">
        <is>
          <t>온도 이상 정지</t>
        </is>
      </c>
      <c r="I858" t="n">
        <v>6.5</v>
      </c>
      <c r="J858" t="n">
        <v>3706</v>
      </c>
      <c r="K858" t="n">
        <v>3626</v>
      </c>
      <c r="L858" t="inlineStr">
        <is>
          <t>L-0720</t>
        </is>
      </c>
      <c r="M858">
        <f>F858-G858</f>
        <v/>
      </c>
      <c r="N858" s="2">
        <f>M858/F858</f>
        <v/>
      </c>
      <c r="O858" s="2">
        <f>I858*J858/60/M858</f>
        <v/>
      </c>
      <c r="P858" s="2">
        <f>K858/J858</f>
        <v/>
      </c>
      <c r="Q858" s="2">
        <f>N858*O858*P858</f>
        <v/>
      </c>
    </row>
    <row r="859">
      <c r="A859" t="inlineStr">
        <is>
          <t>2026-08-05</t>
        </is>
      </c>
      <c r="B859" t="inlineStr">
        <is>
          <t>야간</t>
        </is>
      </c>
      <c r="C859" t="inlineStr">
        <is>
          <t>P3</t>
        </is>
      </c>
      <c r="D859" t="inlineStr">
        <is>
          <t>소결</t>
        </is>
      </c>
      <c r="E859" t="inlineStr">
        <is>
          <t>SF-02</t>
        </is>
      </c>
      <c r="F859" t="n">
        <v>480</v>
      </c>
      <c r="G859" t="n">
        <v>69</v>
      </c>
      <c r="H859" t="inlineStr">
        <is>
          <t>재가열</t>
        </is>
      </c>
      <c r="I859" t="n">
        <v>6.5</v>
      </c>
      <c r="J859" t="n">
        <v>3497</v>
      </c>
      <c r="K859" t="n">
        <v>3420</v>
      </c>
      <c r="L859" t="inlineStr">
        <is>
          <t>L-0720</t>
        </is>
      </c>
      <c r="M859">
        <f>F859-G859</f>
        <v/>
      </c>
      <c r="N859" s="2">
        <f>M859/F859</f>
        <v/>
      </c>
      <c r="O859" s="2">
        <f>I859*J859/60/M859</f>
        <v/>
      </c>
      <c r="P859" s="2">
        <f>K859/J859</f>
        <v/>
      </c>
      <c r="Q859" s="2">
        <f>N859*O859*P859</f>
        <v/>
      </c>
    </row>
    <row r="860">
      <c r="A860" t="inlineStr">
        <is>
          <t>2026-08-05</t>
        </is>
      </c>
      <c r="B860" t="inlineStr">
        <is>
          <t>야간</t>
        </is>
      </c>
      <c r="C860" t="inlineStr">
        <is>
          <t>P4</t>
        </is>
      </c>
      <c r="D860" t="inlineStr">
        <is>
          <t>연삭</t>
        </is>
      </c>
      <c r="E860" t="inlineStr">
        <is>
          <t>GR-01</t>
        </is>
      </c>
      <c r="F860" t="n">
        <v>480</v>
      </c>
      <c r="G860" t="n">
        <v>74</v>
      </c>
      <c r="H860" t="inlineStr">
        <is>
          <t>공구 교체</t>
        </is>
      </c>
      <c r="I860" t="n">
        <v>6.2</v>
      </c>
      <c r="J860" t="n">
        <v>3694</v>
      </c>
      <c r="K860" t="n">
        <v>3654</v>
      </c>
      <c r="L860" t="inlineStr">
        <is>
          <t>L-0720</t>
        </is>
      </c>
      <c r="M860">
        <f>F860-G860</f>
        <v/>
      </c>
      <c r="N860" s="2">
        <f>M860/F860</f>
        <v/>
      </c>
      <c r="O860" s="2">
        <f>I860*J860/60/M860</f>
        <v/>
      </c>
      <c r="P860" s="2">
        <f>K860/J860</f>
        <v/>
      </c>
      <c r="Q860" s="2">
        <f>N860*O860*P860</f>
        <v/>
      </c>
    </row>
    <row r="861">
      <c r="A861" t="inlineStr">
        <is>
          <t>2026-08-05</t>
        </is>
      </c>
      <c r="B861" t="inlineStr">
        <is>
          <t>야간</t>
        </is>
      </c>
      <c r="C861" t="inlineStr">
        <is>
          <t>P4</t>
        </is>
      </c>
      <c r="D861" t="inlineStr">
        <is>
          <t>연삭</t>
        </is>
      </c>
      <c r="E861" t="inlineStr">
        <is>
          <t>GR-02</t>
        </is>
      </c>
      <c r="F861" t="n">
        <v>480</v>
      </c>
      <c r="G861" t="n">
        <v>39</v>
      </c>
      <c r="H861" t="inlineStr">
        <is>
          <t>공구 교체</t>
        </is>
      </c>
      <c r="I861" t="n">
        <v>6.2</v>
      </c>
      <c r="J861" t="n">
        <v>3945</v>
      </c>
      <c r="K861" t="n">
        <v>3913</v>
      </c>
      <c r="L861" t="inlineStr">
        <is>
          <t>L-0720</t>
        </is>
      </c>
      <c r="M861">
        <f>F861-G861</f>
        <v/>
      </c>
      <c r="N861" s="2">
        <f>M861/F861</f>
        <v/>
      </c>
      <c r="O861" s="2">
        <f>I861*J861/60/M861</f>
        <v/>
      </c>
      <c r="P861" s="2">
        <f>K861/J861</f>
        <v/>
      </c>
      <c r="Q861" s="2">
        <f>N861*O861*P861</f>
        <v/>
      </c>
    </row>
    <row r="862">
      <c r="A862" t="inlineStr">
        <is>
          <t>2026-08-05</t>
        </is>
      </c>
      <c r="B862" t="inlineStr">
        <is>
          <t>야간</t>
        </is>
      </c>
      <c r="C862" t="inlineStr">
        <is>
          <t>P5</t>
        </is>
      </c>
      <c r="D862" t="inlineStr">
        <is>
          <t>검사</t>
        </is>
      </c>
      <c r="E862" t="inlineStr">
        <is>
          <t>IN-01</t>
        </is>
      </c>
      <c r="F862" t="n">
        <v>480</v>
      </c>
      <c r="G862" t="n">
        <v>33</v>
      </c>
      <c r="H862" t="inlineStr">
        <is>
          <t>측정기 교정</t>
        </is>
      </c>
      <c r="I862" t="n">
        <v>5.5</v>
      </c>
      <c r="J862" t="n">
        <v>4418</v>
      </c>
      <c r="K862" t="n">
        <v>4401</v>
      </c>
      <c r="L862" t="inlineStr">
        <is>
          <t>L-0720</t>
        </is>
      </c>
      <c r="M862">
        <f>F862-G862</f>
        <v/>
      </c>
      <c r="N862" s="2">
        <f>M862/F862</f>
        <v/>
      </c>
      <c r="O862" s="2">
        <f>I862*J862/60/M862</f>
        <v/>
      </c>
      <c r="P862" s="2">
        <f>K862/J862</f>
        <v/>
      </c>
      <c r="Q862" s="2">
        <f>N862*O862*P862</f>
        <v/>
      </c>
    </row>
    <row r="863">
      <c r="A863" t="inlineStr">
        <is>
          <t>2026-08-05</t>
        </is>
      </c>
      <c r="B863" t="inlineStr">
        <is>
          <t>야간</t>
        </is>
      </c>
      <c r="C863" t="inlineStr">
        <is>
          <t>P5</t>
        </is>
      </c>
      <c r="D863" t="inlineStr">
        <is>
          <t>검사</t>
        </is>
      </c>
      <c r="E863" t="inlineStr">
        <is>
          <t>IN-02</t>
        </is>
      </c>
      <c r="F863" t="n">
        <v>480</v>
      </c>
      <c r="G863" t="n">
        <v>26</v>
      </c>
      <c r="H863" t="inlineStr">
        <is>
          <t>샘플 재검</t>
        </is>
      </c>
      <c r="I863" t="n">
        <v>5.5</v>
      </c>
      <c r="J863" t="n">
        <v>4672</v>
      </c>
      <c r="K863" t="n">
        <v>4655</v>
      </c>
      <c r="L863" t="inlineStr">
        <is>
          <t>L-0720</t>
        </is>
      </c>
      <c r="M863">
        <f>F863-G863</f>
        <v/>
      </c>
      <c r="N863" s="2">
        <f>M863/F863</f>
        <v/>
      </c>
      <c r="O863" s="2">
        <f>I863*J863/60/M863</f>
        <v/>
      </c>
      <c r="P863" s="2">
        <f>K863/J863</f>
        <v/>
      </c>
      <c r="Q863" s="2">
        <f>N863*O863*P863</f>
        <v/>
      </c>
    </row>
    <row r="864">
      <c r="A864" t="inlineStr">
        <is>
          <t>2026-08-05</t>
        </is>
      </c>
      <c r="B864" t="inlineStr">
        <is>
          <t>야간</t>
        </is>
      </c>
      <c r="C864" t="inlineStr">
        <is>
          <t>P6</t>
        </is>
      </c>
      <c r="D864" t="inlineStr">
        <is>
          <t>포장</t>
        </is>
      </c>
      <c r="E864" t="inlineStr">
        <is>
          <t>PK-01</t>
        </is>
      </c>
      <c r="F864" t="n">
        <v>480</v>
      </c>
      <c r="G864" t="n">
        <v>16</v>
      </c>
      <c r="H864" t="inlineStr">
        <is>
          <t>자재 대기</t>
        </is>
      </c>
      <c r="I864" t="n">
        <v>4.8</v>
      </c>
      <c r="J864" t="n">
        <v>5520</v>
      </c>
      <c r="K864" t="n">
        <v>5505</v>
      </c>
      <c r="L864" t="inlineStr">
        <is>
          <t>L-0720</t>
        </is>
      </c>
      <c r="M864">
        <f>F864-G864</f>
        <v/>
      </c>
      <c r="N864" s="2">
        <f>M864/F864</f>
        <v/>
      </c>
      <c r="O864" s="2">
        <f>I864*J864/60/M864</f>
        <v/>
      </c>
      <c r="P864" s="2">
        <f>K864/J864</f>
        <v/>
      </c>
      <c r="Q864" s="2">
        <f>N864*O864*P864</f>
        <v/>
      </c>
    </row>
    <row r="865">
      <c r="A865" t="inlineStr">
        <is>
          <t>2026-08-05</t>
        </is>
      </c>
      <c r="B865" t="inlineStr">
        <is>
          <t>야간</t>
        </is>
      </c>
      <c r="C865" t="inlineStr">
        <is>
          <t>P6</t>
        </is>
      </c>
      <c r="D865" t="inlineStr">
        <is>
          <t>포장</t>
        </is>
      </c>
      <c r="E865" t="inlineStr">
        <is>
          <t>PK-02</t>
        </is>
      </c>
      <c r="F865" t="n">
        <v>480</v>
      </c>
      <c r="G865" t="n">
        <v>34</v>
      </c>
      <c r="H865" t="inlineStr">
        <is>
          <t>자재 대기</t>
        </is>
      </c>
      <c r="I865" t="n">
        <v>4.8</v>
      </c>
      <c r="J865" t="n">
        <v>5361</v>
      </c>
      <c r="K865" t="n">
        <v>5346</v>
      </c>
      <c r="L865" t="inlineStr">
        <is>
          <t>L-0720</t>
        </is>
      </c>
      <c r="M865">
        <f>F865-G865</f>
        <v/>
      </c>
      <c r="N865" s="2">
        <f>M865/F865</f>
        <v/>
      </c>
      <c r="O865" s="2">
        <f>I865*J865/60/M865</f>
        <v/>
      </c>
      <c r="P865" s="2">
        <f>K865/J865</f>
        <v/>
      </c>
      <c r="Q865" s="2">
        <f>N865*O865*P865</f>
        <v/>
      </c>
    </row>
    <row r="866">
      <c r="A866" t="inlineStr">
        <is>
          <t>2026-08-06</t>
        </is>
      </c>
      <c r="B866" t="inlineStr">
        <is>
          <t>주간</t>
        </is>
      </c>
      <c r="C866" t="inlineStr">
        <is>
          <t>P1</t>
        </is>
      </c>
      <c r="D866" t="inlineStr">
        <is>
          <t>원료혼합</t>
        </is>
      </c>
      <c r="E866" t="inlineStr">
        <is>
          <t>MX-01</t>
        </is>
      </c>
      <c r="F866" t="n">
        <v>480</v>
      </c>
      <c r="G866" t="n">
        <v>7</v>
      </c>
      <c r="H866" t="inlineStr">
        <is>
          <t>청소</t>
        </is>
      </c>
      <c r="I866" t="n">
        <v>5</v>
      </c>
      <c r="J866" t="n">
        <v>5459</v>
      </c>
      <c r="K866" t="n">
        <v>5432</v>
      </c>
      <c r="L866" t="inlineStr">
        <is>
          <t>L-0720</t>
        </is>
      </c>
      <c r="M866">
        <f>F866-G866</f>
        <v/>
      </c>
      <c r="N866" s="2">
        <f>M866/F866</f>
        <v/>
      </c>
      <c r="O866" s="2">
        <f>I866*J866/60/M866</f>
        <v/>
      </c>
      <c r="P866" s="2">
        <f>K866/J866</f>
        <v/>
      </c>
      <c r="Q866" s="2">
        <f>N866*O866*P866</f>
        <v/>
      </c>
    </row>
    <row r="867">
      <c r="A867" t="inlineStr">
        <is>
          <t>2026-08-06</t>
        </is>
      </c>
      <c r="B867" t="inlineStr">
        <is>
          <t>주간</t>
        </is>
      </c>
      <c r="C867" t="inlineStr">
        <is>
          <t>P1</t>
        </is>
      </c>
      <c r="D867" t="inlineStr">
        <is>
          <t>원료혼합</t>
        </is>
      </c>
      <c r="E867" t="inlineStr">
        <is>
          <t>MX-02</t>
        </is>
      </c>
      <c r="F867" t="n">
        <v>480</v>
      </c>
      <c r="G867" t="n">
        <v>64</v>
      </c>
      <c r="H867" t="inlineStr">
        <is>
          <t>원료 대기</t>
        </is>
      </c>
      <c r="I867" t="n">
        <v>5</v>
      </c>
      <c r="J867" t="n">
        <v>4459</v>
      </c>
      <c r="K867" t="n">
        <v>4423</v>
      </c>
      <c r="L867" t="inlineStr">
        <is>
          <t>L-0720</t>
        </is>
      </c>
      <c r="M867">
        <f>F867-G867</f>
        <v/>
      </c>
      <c r="N867" s="2">
        <f>M867/F867</f>
        <v/>
      </c>
      <c r="O867" s="2">
        <f>I867*J867/60/M867</f>
        <v/>
      </c>
      <c r="P867" s="2">
        <f>K867/J867</f>
        <v/>
      </c>
      <c r="Q867" s="2">
        <f>N867*O867*P867</f>
        <v/>
      </c>
    </row>
    <row r="868">
      <c r="A868" t="inlineStr">
        <is>
          <t>2026-08-06</t>
        </is>
      </c>
      <c r="B868" t="inlineStr">
        <is>
          <t>주간</t>
        </is>
      </c>
      <c r="C868" t="inlineStr">
        <is>
          <t>P2</t>
        </is>
      </c>
      <c r="D868" t="inlineStr">
        <is>
          <t>성형</t>
        </is>
      </c>
      <c r="E868" t="inlineStr">
        <is>
          <t>PR-01</t>
        </is>
      </c>
      <c r="F868" t="n">
        <v>480</v>
      </c>
      <c r="G868" t="n">
        <v>72</v>
      </c>
      <c r="H868" t="inlineStr">
        <is>
          <t>분말 공급 지연</t>
        </is>
      </c>
      <c r="I868" t="n">
        <v>6</v>
      </c>
      <c r="J868" t="n">
        <v>3906</v>
      </c>
      <c r="K868" t="n">
        <v>3869</v>
      </c>
      <c r="L868" t="inlineStr">
        <is>
          <t>L-0720</t>
        </is>
      </c>
      <c r="M868">
        <f>F868-G868</f>
        <v/>
      </c>
      <c r="N868" s="2">
        <f>M868/F868</f>
        <v/>
      </c>
      <c r="O868" s="2">
        <f>I868*J868/60/M868</f>
        <v/>
      </c>
      <c r="P868" s="2">
        <f>K868/J868</f>
        <v/>
      </c>
      <c r="Q868" s="2">
        <f>N868*O868*P868</f>
        <v/>
      </c>
    </row>
    <row r="869">
      <c r="A869" t="inlineStr">
        <is>
          <t>2026-08-06</t>
        </is>
      </c>
      <c r="B869" t="inlineStr">
        <is>
          <t>주간</t>
        </is>
      </c>
      <c r="C869" t="inlineStr">
        <is>
          <t>P2</t>
        </is>
      </c>
      <c r="D869" t="inlineStr">
        <is>
          <t>성형</t>
        </is>
      </c>
      <c r="E869" t="inlineStr">
        <is>
          <t>PR-02</t>
        </is>
      </c>
      <c r="F869" t="n">
        <v>480</v>
      </c>
      <c r="G869" t="n">
        <v>12</v>
      </c>
      <c r="H869" t="inlineStr">
        <is>
          <t>분말 공급 지연</t>
        </is>
      </c>
      <c r="I869" t="n">
        <v>6</v>
      </c>
      <c r="J869" t="n">
        <v>4446</v>
      </c>
      <c r="K869" t="n">
        <v>4411</v>
      </c>
      <c r="L869" t="inlineStr">
        <is>
          <t>L-0720</t>
        </is>
      </c>
      <c r="M869">
        <f>F869-G869</f>
        <v/>
      </c>
      <c r="N869" s="2">
        <f>M869/F869</f>
        <v/>
      </c>
      <c r="O869" s="2">
        <f>I869*J869/60/M869</f>
        <v/>
      </c>
      <c r="P869" s="2">
        <f>K869/J869</f>
        <v/>
      </c>
      <c r="Q869" s="2">
        <f>N869*O869*P869</f>
        <v/>
      </c>
    </row>
    <row r="870">
      <c r="A870" t="inlineStr">
        <is>
          <t>2026-08-06</t>
        </is>
      </c>
      <c r="B870" t="inlineStr">
        <is>
          <t>주간</t>
        </is>
      </c>
      <c r="C870" t="inlineStr">
        <is>
          <t>P3</t>
        </is>
      </c>
      <c r="D870" t="inlineStr">
        <is>
          <t>소결</t>
        </is>
      </c>
      <c r="E870" t="inlineStr">
        <is>
          <t>SF-01</t>
        </is>
      </c>
      <c r="F870" t="n">
        <v>480</v>
      </c>
      <c r="G870" t="n">
        <v>28</v>
      </c>
      <c r="H870" t="inlineStr">
        <is>
          <t>장입 대기</t>
        </is>
      </c>
      <c r="I870" t="n">
        <v>6.5</v>
      </c>
      <c r="J870" t="n">
        <v>3742</v>
      </c>
      <c r="K870" t="n">
        <v>3669</v>
      </c>
      <c r="L870" t="inlineStr">
        <is>
          <t>L-0720</t>
        </is>
      </c>
      <c r="M870">
        <f>F870-G870</f>
        <v/>
      </c>
      <c r="N870" s="2">
        <f>M870/F870</f>
        <v/>
      </c>
      <c r="O870" s="2">
        <f>I870*J870/60/M870</f>
        <v/>
      </c>
      <c r="P870" s="2">
        <f>K870/J870</f>
        <v/>
      </c>
      <c r="Q870" s="2">
        <f>N870*O870*P870</f>
        <v/>
      </c>
    </row>
    <row r="871">
      <c r="A871" t="inlineStr">
        <is>
          <t>2026-08-06</t>
        </is>
      </c>
      <c r="B871" t="inlineStr">
        <is>
          <t>주간</t>
        </is>
      </c>
      <c r="C871" t="inlineStr">
        <is>
          <t>P3</t>
        </is>
      </c>
      <c r="D871" t="inlineStr">
        <is>
          <t>소결</t>
        </is>
      </c>
      <c r="E871" t="inlineStr">
        <is>
          <t>SF-02</t>
        </is>
      </c>
      <c r="F871" t="n">
        <v>480</v>
      </c>
      <c r="G871" t="n">
        <v>48</v>
      </c>
      <c r="H871" t="inlineStr">
        <is>
          <t>온도 이상 정지</t>
        </is>
      </c>
      <c r="I871" t="n">
        <v>6.5</v>
      </c>
      <c r="J871" t="n">
        <v>3707</v>
      </c>
      <c r="K871" t="n">
        <v>3636</v>
      </c>
      <c r="L871" t="inlineStr">
        <is>
          <t>L-0720</t>
        </is>
      </c>
      <c r="M871">
        <f>F871-G871</f>
        <v/>
      </c>
      <c r="N871" s="2">
        <f>M871/F871</f>
        <v/>
      </c>
      <c r="O871" s="2">
        <f>I871*J871/60/M871</f>
        <v/>
      </c>
      <c r="P871" s="2">
        <f>K871/J871</f>
        <v/>
      </c>
      <c r="Q871" s="2">
        <f>N871*O871*P871</f>
        <v/>
      </c>
    </row>
    <row r="872">
      <c r="A872" t="inlineStr">
        <is>
          <t>2026-08-06</t>
        </is>
      </c>
      <c r="B872" t="inlineStr">
        <is>
          <t>주간</t>
        </is>
      </c>
      <c r="C872" t="inlineStr">
        <is>
          <t>P4</t>
        </is>
      </c>
      <c r="D872" t="inlineStr">
        <is>
          <t>연삭</t>
        </is>
      </c>
      <c r="E872" t="inlineStr">
        <is>
          <t>GR-01</t>
        </is>
      </c>
      <c r="F872" t="n">
        <v>480</v>
      </c>
      <c r="G872" t="n">
        <v>76</v>
      </c>
      <c r="H872" t="inlineStr">
        <is>
          <t>공구 교체</t>
        </is>
      </c>
      <c r="I872" t="n">
        <v>6.2</v>
      </c>
      <c r="J872" t="n">
        <v>3589</v>
      </c>
      <c r="K872" t="n">
        <v>3549</v>
      </c>
      <c r="L872" t="inlineStr">
        <is>
          <t>L-0720</t>
        </is>
      </c>
      <c r="M872">
        <f>F872-G872</f>
        <v/>
      </c>
      <c r="N872" s="2">
        <f>M872/F872</f>
        <v/>
      </c>
      <c r="O872" s="2">
        <f>I872*J872/60/M872</f>
        <v/>
      </c>
      <c r="P872" s="2">
        <f>K872/J872</f>
        <v/>
      </c>
      <c r="Q872" s="2">
        <f>N872*O872*P872</f>
        <v/>
      </c>
    </row>
    <row r="873">
      <c r="A873" t="inlineStr">
        <is>
          <t>2026-08-06</t>
        </is>
      </c>
      <c r="B873" t="inlineStr">
        <is>
          <t>주간</t>
        </is>
      </c>
      <c r="C873" t="inlineStr">
        <is>
          <t>P4</t>
        </is>
      </c>
      <c r="D873" t="inlineStr">
        <is>
          <t>연삭</t>
        </is>
      </c>
      <c r="E873" t="inlineStr">
        <is>
          <t>GR-02</t>
        </is>
      </c>
      <c r="F873" t="n">
        <v>480</v>
      </c>
      <c r="G873" t="n">
        <v>50</v>
      </c>
      <c r="H873" t="inlineStr">
        <is>
          <t>공구 교체</t>
        </is>
      </c>
      <c r="I873" t="n">
        <v>6.2</v>
      </c>
      <c r="J873" t="n">
        <v>3856</v>
      </c>
      <c r="K873" t="n">
        <v>3814</v>
      </c>
      <c r="L873" t="inlineStr">
        <is>
          <t>L-0720</t>
        </is>
      </c>
      <c r="M873">
        <f>F873-G873</f>
        <v/>
      </c>
      <c r="N873" s="2">
        <f>M873/F873</f>
        <v/>
      </c>
      <c r="O873" s="2">
        <f>I873*J873/60/M873</f>
        <v/>
      </c>
      <c r="P873" s="2">
        <f>K873/J873</f>
        <v/>
      </c>
      <c r="Q873" s="2">
        <f>N873*O873*P873</f>
        <v/>
      </c>
    </row>
    <row r="874">
      <c r="A874" t="inlineStr">
        <is>
          <t>2026-08-06</t>
        </is>
      </c>
      <c r="B874" t="inlineStr">
        <is>
          <t>주간</t>
        </is>
      </c>
      <c r="C874" t="inlineStr">
        <is>
          <t>P5</t>
        </is>
      </c>
      <c r="D874" t="inlineStr">
        <is>
          <t>검사</t>
        </is>
      </c>
      <c r="E874" t="inlineStr">
        <is>
          <t>IN-01</t>
        </is>
      </c>
      <c r="F874" t="n">
        <v>480</v>
      </c>
      <c r="G874" t="n">
        <v>32</v>
      </c>
      <c r="H874" t="inlineStr">
        <is>
          <t>측정기 교정</t>
        </is>
      </c>
      <c r="I874" t="n">
        <v>5.5</v>
      </c>
      <c r="J874" t="n">
        <v>4579</v>
      </c>
      <c r="K874" t="n">
        <v>4566</v>
      </c>
      <c r="L874" t="inlineStr">
        <is>
          <t>L-0720</t>
        </is>
      </c>
      <c r="M874">
        <f>F874-G874</f>
        <v/>
      </c>
      <c r="N874" s="2">
        <f>M874/F874</f>
        <v/>
      </c>
      <c r="O874" s="2">
        <f>I874*J874/60/M874</f>
        <v/>
      </c>
      <c r="P874" s="2">
        <f>K874/J874</f>
        <v/>
      </c>
      <c r="Q874" s="2">
        <f>N874*O874*P874</f>
        <v/>
      </c>
    </row>
    <row r="875">
      <c r="A875" t="inlineStr">
        <is>
          <t>2026-08-06</t>
        </is>
      </c>
      <c r="B875" t="inlineStr">
        <is>
          <t>주간</t>
        </is>
      </c>
      <c r="C875" t="inlineStr">
        <is>
          <t>P5</t>
        </is>
      </c>
      <c r="D875" t="inlineStr">
        <is>
          <t>검사</t>
        </is>
      </c>
      <c r="E875" t="inlineStr">
        <is>
          <t>IN-02</t>
        </is>
      </c>
      <c r="F875" t="n">
        <v>480</v>
      </c>
      <c r="G875" t="n">
        <v>25</v>
      </c>
      <c r="H875" t="inlineStr">
        <is>
          <t>측정기 교정</t>
        </is>
      </c>
      <c r="I875" t="n">
        <v>5.5</v>
      </c>
      <c r="J875" t="n">
        <v>4891</v>
      </c>
      <c r="K875" t="n">
        <v>4876</v>
      </c>
      <c r="L875" t="inlineStr">
        <is>
          <t>L-0720</t>
        </is>
      </c>
      <c r="M875">
        <f>F875-G875</f>
        <v/>
      </c>
      <c r="N875" s="2">
        <f>M875/F875</f>
        <v/>
      </c>
      <c r="O875" s="2">
        <f>I875*J875/60/M875</f>
        <v/>
      </c>
      <c r="P875" s="2">
        <f>K875/J875</f>
        <v/>
      </c>
      <c r="Q875" s="2">
        <f>N875*O875*P875</f>
        <v/>
      </c>
    </row>
    <row r="876">
      <c r="A876" t="inlineStr">
        <is>
          <t>2026-08-06</t>
        </is>
      </c>
      <c r="B876" t="inlineStr">
        <is>
          <t>주간</t>
        </is>
      </c>
      <c r="C876" t="inlineStr">
        <is>
          <t>P6</t>
        </is>
      </c>
      <c r="D876" t="inlineStr">
        <is>
          <t>포장</t>
        </is>
      </c>
      <c r="E876" t="inlineStr">
        <is>
          <t>PK-01</t>
        </is>
      </c>
      <c r="F876" t="n">
        <v>480</v>
      </c>
      <c r="G876" t="n">
        <v>23</v>
      </c>
      <c r="H876" t="inlineStr">
        <is>
          <t>라벨 교체</t>
        </is>
      </c>
      <c r="I876" t="n">
        <v>4.8</v>
      </c>
      <c r="J876" t="n">
        <v>5322</v>
      </c>
      <c r="K876" t="n">
        <v>5311</v>
      </c>
      <c r="L876" t="inlineStr">
        <is>
          <t>L-0720</t>
        </is>
      </c>
      <c r="M876">
        <f>F876-G876</f>
        <v/>
      </c>
      <c r="N876" s="2">
        <f>M876/F876</f>
        <v/>
      </c>
      <c r="O876" s="2">
        <f>I876*J876/60/M876</f>
        <v/>
      </c>
      <c r="P876" s="2">
        <f>K876/J876</f>
        <v/>
      </c>
      <c r="Q876" s="2">
        <f>N876*O876*P876</f>
        <v/>
      </c>
    </row>
    <row r="877">
      <c r="A877" t="inlineStr">
        <is>
          <t>2026-08-06</t>
        </is>
      </c>
      <c r="B877" t="inlineStr">
        <is>
          <t>주간</t>
        </is>
      </c>
      <c r="C877" t="inlineStr">
        <is>
          <t>P6</t>
        </is>
      </c>
      <c r="D877" t="inlineStr">
        <is>
          <t>포장</t>
        </is>
      </c>
      <c r="E877" t="inlineStr">
        <is>
          <t>PK-02</t>
        </is>
      </c>
      <c r="F877" t="n">
        <v>480</v>
      </c>
      <c r="G877" t="n">
        <v>42</v>
      </c>
      <c r="H877" t="inlineStr">
        <is>
          <t>라벨 교체</t>
        </is>
      </c>
      <c r="I877" t="n">
        <v>4.8</v>
      </c>
      <c r="J877" t="n">
        <v>4930</v>
      </c>
      <c r="K877" t="n">
        <v>4921</v>
      </c>
      <c r="L877" t="inlineStr">
        <is>
          <t>L-0720</t>
        </is>
      </c>
      <c r="M877">
        <f>F877-G877</f>
        <v/>
      </c>
      <c r="N877" s="2">
        <f>M877/F877</f>
        <v/>
      </c>
      <c r="O877" s="2">
        <f>I877*J877/60/M877</f>
        <v/>
      </c>
      <c r="P877" s="2">
        <f>K877/J877</f>
        <v/>
      </c>
      <c r="Q877" s="2">
        <f>N877*O877*P877</f>
        <v/>
      </c>
    </row>
    <row r="878">
      <c r="A878" t="inlineStr">
        <is>
          <t>2026-08-06</t>
        </is>
      </c>
      <c r="B878" t="inlineStr">
        <is>
          <t>야간</t>
        </is>
      </c>
      <c r="C878" t="inlineStr">
        <is>
          <t>P1</t>
        </is>
      </c>
      <c r="D878" t="inlineStr">
        <is>
          <t>원료혼합</t>
        </is>
      </c>
      <c r="E878" t="inlineStr">
        <is>
          <t>MX-01</t>
        </is>
      </c>
      <c r="F878" t="n">
        <v>480</v>
      </c>
      <c r="G878" t="n">
        <v>43</v>
      </c>
      <c r="H878" t="inlineStr">
        <is>
          <t>원료 대기</t>
        </is>
      </c>
      <c r="I878" t="n">
        <v>5</v>
      </c>
      <c r="J878" t="n">
        <v>4820</v>
      </c>
      <c r="K878" t="n">
        <v>4785</v>
      </c>
      <c r="L878" t="inlineStr">
        <is>
          <t>L-0720</t>
        </is>
      </c>
      <c r="M878">
        <f>F878-G878</f>
        <v/>
      </c>
      <c r="N878" s="2">
        <f>M878/F878</f>
        <v/>
      </c>
      <c r="O878" s="2">
        <f>I878*J878/60/M878</f>
        <v/>
      </c>
      <c r="P878" s="2">
        <f>K878/J878</f>
        <v/>
      </c>
      <c r="Q878" s="2">
        <f>N878*O878*P878</f>
        <v/>
      </c>
    </row>
    <row r="879">
      <c r="A879" t="inlineStr">
        <is>
          <t>2026-08-06</t>
        </is>
      </c>
      <c r="B879" t="inlineStr">
        <is>
          <t>야간</t>
        </is>
      </c>
      <c r="C879" t="inlineStr">
        <is>
          <t>P1</t>
        </is>
      </c>
      <c r="D879" t="inlineStr">
        <is>
          <t>원료혼합</t>
        </is>
      </c>
      <c r="E879" t="inlineStr">
        <is>
          <t>MX-02</t>
        </is>
      </c>
      <c r="F879" t="n">
        <v>480</v>
      </c>
      <c r="G879" t="n">
        <v>7</v>
      </c>
      <c r="H879" t="inlineStr">
        <is>
          <t>청소</t>
        </is>
      </c>
      <c r="I879" t="n">
        <v>5</v>
      </c>
      <c r="J879" t="n">
        <v>5446</v>
      </c>
      <c r="K879" t="n">
        <v>5403</v>
      </c>
      <c r="L879" t="inlineStr">
        <is>
          <t>L-0720</t>
        </is>
      </c>
      <c r="M879">
        <f>F879-G879</f>
        <v/>
      </c>
      <c r="N879" s="2">
        <f>M879/F879</f>
        <v/>
      </c>
      <c r="O879" s="2">
        <f>I879*J879/60/M879</f>
        <v/>
      </c>
      <c r="P879" s="2">
        <f>K879/J879</f>
        <v/>
      </c>
      <c r="Q879" s="2">
        <f>N879*O879*P879</f>
        <v/>
      </c>
    </row>
    <row r="880">
      <c r="A880" t="inlineStr">
        <is>
          <t>2026-08-06</t>
        </is>
      </c>
      <c r="B880" t="inlineStr">
        <is>
          <t>야간</t>
        </is>
      </c>
      <c r="C880" t="inlineStr">
        <is>
          <t>P2</t>
        </is>
      </c>
      <c r="D880" t="inlineStr">
        <is>
          <t>성형</t>
        </is>
      </c>
      <c r="E880" t="inlineStr">
        <is>
          <t>PR-01</t>
        </is>
      </c>
      <c r="F880" t="n">
        <v>480</v>
      </c>
      <c r="G880" t="n">
        <v>14</v>
      </c>
      <c r="H880" t="inlineStr">
        <is>
          <t>분말 공급 지연</t>
        </is>
      </c>
      <c r="I880" t="n">
        <v>6</v>
      </c>
      <c r="J880" t="n">
        <v>4247</v>
      </c>
      <c r="K880" t="n">
        <v>4196</v>
      </c>
      <c r="L880" t="inlineStr">
        <is>
          <t>L-0720</t>
        </is>
      </c>
      <c r="M880">
        <f>F880-G880</f>
        <v/>
      </c>
      <c r="N880" s="2">
        <f>M880/F880</f>
        <v/>
      </c>
      <c r="O880" s="2">
        <f>I880*J880/60/M880</f>
        <v/>
      </c>
      <c r="P880" s="2">
        <f>K880/J880</f>
        <v/>
      </c>
      <c r="Q880" s="2">
        <f>N880*O880*P880</f>
        <v/>
      </c>
    </row>
    <row r="881">
      <c r="A881" t="inlineStr">
        <is>
          <t>2026-08-06</t>
        </is>
      </c>
      <c r="B881" t="inlineStr">
        <is>
          <t>야간</t>
        </is>
      </c>
      <c r="C881" t="inlineStr">
        <is>
          <t>P2</t>
        </is>
      </c>
      <c r="D881" t="inlineStr">
        <is>
          <t>성형</t>
        </is>
      </c>
      <c r="E881" t="inlineStr">
        <is>
          <t>PR-02</t>
        </is>
      </c>
      <c r="F881" t="n">
        <v>480</v>
      </c>
      <c r="G881" t="n">
        <v>28</v>
      </c>
      <c r="H881" t="inlineStr">
        <is>
          <t>금형 교체</t>
        </is>
      </c>
      <c r="I881" t="n">
        <v>6</v>
      </c>
      <c r="J881" t="n">
        <v>4167</v>
      </c>
      <c r="K881" t="n">
        <v>4126</v>
      </c>
      <c r="L881" t="inlineStr">
        <is>
          <t>L-0720</t>
        </is>
      </c>
      <c r="M881">
        <f>F881-G881</f>
        <v/>
      </c>
      <c r="N881" s="2">
        <f>M881/F881</f>
        <v/>
      </c>
      <c r="O881" s="2">
        <f>I881*J881/60/M881</f>
        <v/>
      </c>
      <c r="P881" s="2">
        <f>K881/J881</f>
        <v/>
      </c>
      <c r="Q881" s="2">
        <f>N881*O881*P881</f>
        <v/>
      </c>
    </row>
    <row r="882">
      <c r="A882" t="inlineStr">
        <is>
          <t>2026-08-06</t>
        </is>
      </c>
      <c r="B882" t="inlineStr">
        <is>
          <t>야간</t>
        </is>
      </c>
      <c r="C882" t="inlineStr">
        <is>
          <t>P3</t>
        </is>
      </c>
      <c r="D882" t="inlineStr">
        <is>
          <t>소결</t>
        </is>
      </c>
      <c r="E882" t="inlineStr">
        <is>
          <t>SF-01</t>
        </is>
      </c>
      <c r="F882" t="n">
        <v>480</v>
      </c>
      <c r="G882" t="n">
        <v>59</v>
      </c>
      <c r="H882" t="inlineStr">
        <is>
          <t>장입 대기</t>
        </is>
      </c>
      <c r="I882" t="n">
        <v>6.5</v>
      </c>
      <c r="J882" t="n">
        <v>3634</v>
      </c>
      <c r="K882" t="n">
        <v>3549</v>
      </c>
      <c r="L882" t="inlineStr">
        <is>
          <t>L-0720</t>
        </is>
      </c>
      <c r="M882">
        <f>F882-G882</f>
        <v/>
      </c>
      <c r="N882" s="2">
        <f>M882/F882</f>
        <v/>
      </c>
      <c r="O882" s="2">
        <f>I882*J882/60/M882</f>
        <v/>
      </c>
      <c r="P882" s="2">
        <f>K882/J882</f>
        <v/>
      </c>
      <c r="Q882" s="2">
        <f>N882*O882*P882</f>
        <v/>
      </c>
    </row>
    <row r="883">
      <c r="A883" t="inlineStr">
        <is>
          <t>2026-08-06</t>
        </is>
      </c>
      <c r="B883" t="inlineStr">
        <is>
          <t>야간</t>
        </is>
      </c>
      <c r="C883" t="inlineStr">
        <is>
          <t>P3</t>
        </is>
      </c>
      <c r="D883" t="inlineStr">
        <is>
          <t>소결</t>
        </is>
      </c>
      <c r="E883" t="inlineStr">
        <is>
          <t>SF-02</t>
        </is>
      </c>
      <c r="F883" t="n">
        <v>480</v>
      </c>
      <c r="G883" t="n">
        <v>69</v>
      </c>
      <c r="H883" t="inlineStr">
        <is>
          <t>재가열</t>
        </is>
      </c>
      <c r="I883" t="n">
        <v>6.5</v>
      </c>
      <c r="J883" t="n">
        <v>3684</v>
      </c>
      <c r="K883" t="n">
        <v>3612</v>
      </c>
      <c r="L883" t="inlineStr">
        <is>
          <t>L-0720</t>
        </is>
      </c>
      <c r="M883">
        <f>F883-G883</f>
        <v/>
      </c>
      <c r="N883" s="2">
        <f>M883/F883</f>
        <v/>
      </c>
      <c r="O883" s="2">
        <f>I883*J883/60/M883</f>
        <v/>
      </c>
      <c r="P883" s="2">
        <f>K883/J883</f>
        <v/>
      </c>
      <c r="Q883" s="2">
        <f>N883*O883*P883</f>
        <v/>
      </c>
    </row>
    <row r="884">
      <c r="A884" t="inlineStr">
        <is>
          <t>2026-08-06</t>
        </is>
      </c>
      <c r="B884" t="inlineStr">
        <is>
          <t>야간</t>
        </is>
      </c>
      <c r="C884" t="inlineStr">
        <is>
          <t>P4</t>
        </is>
      </c>
      <c r="D884" t="inlineStr">
        <is>
          <t>연삭</t>
        </is>
      </c>
      <c r="E884" t="inlineStr">
        <is>
          <t>GR-01</t>
        </is>
      </c>
      <c r="F884" t="n">
        <v>480</v>
      </c>
      <c r="G884" t="n">
        <v>62</v>
      </c>
      <c r="H884" t="inlineStr">
        <is>
          <t>드레싱</t>
        </is>
      </c>
      <c r="I884" t="n">
        <v>6.2</v>
      </c>
      <c r="J884" t="n">
        <v>3722</v>
      </c>
      <c r="K884" t="n">
        <v>3682</v>
      </c>
      <c r="L884" t="inlineStr">
        <is>
          <t>L-0720</t>
        </is>
      </c>
      <c r="M884">
        <f>F884-G884</f>
        <v/>
      </c>
      <c r="N884" s="2">
        <f>M884/F884</f>
        <v/>
      </c>
      <c r="O884" s="2">
        <f>I884*J884/60/M884</f>
        <v/>
      </c>
      <c r="P884" s="2">
        <f>K884/J884</f>
        <v/>
      </c>
      <c r="Q884" s="2">
        <f>N884*O884*P884</f>
        <v/>
      </c>
    </row>
    <row r="885">
      <c r="A885" t="inlineStr">
        <is>
          <t>2026-08-06</t>
        </is>
      </c>
      <c r="B885" t="inlineStr">
        <is>
          <t>야간</t>
        </is>
      </c>
      <c r="C885" t="inlineStr">
        <is>
          <t>P4</t>
        </is>
      </c>
      <c r="D885" t="inlineStr">
        <is>
          <t>연삭</t>
        </is>
      </c>
      <c r="E885" t="inlineStr">
        <is>
          <t>GR-02</t>
        </is>
      </c>
      <c r="F885" t="n">
        <v>480</v>
      </c>
      <c r="G885" t="n">
        <v>72</v>
      </c>
      <c r="H885" t="inlineStr">
        <is>
          <t>공구 교체</t>
        </is>
      </c>
      <c r="I885" t="n">
        <v>6.2</v>
      </c>
      <c r="J885" t="n">
        <v>3725</v>
      </c>
      <c r="K885" t="n">
        <v>3688</v>
      </c>
      <c r="L885" t="inlineStr">
        <is>
          <t>L-0720</t>
        </is>
      </c>
      <c r="M885">
        <f>F885-G885</f>
        <v/>
      </c>
      <c r="N885" s="2">
        <f>M885/F885</f>
        <v/>
      </c>
      <c r="O885" s="2">
        <f>I885*J885/60/M885</f>
        <v/>
      </c>
      <c r="P885" s="2">
        <f>K885/J885</f>
        <v/>
      </c>
      <c r="Q885" s="2">
        <f>N885*O885*P885</f>
        <v/>
      </c>
    </row>
    <row r="886">
      <c r="A886" t="inlineStr">
        <is>
          <t>2026-08-06</t>
        </is>
      </c>
      <c r="B886" t="inlineStr">
        <is>
          <t>야간</t>
        </is>
      </c>
      <c r="C886" t="inlineStr">
        <is>
          <t>P5</t>
        </is>
      </c>
      <c r="D886" t="inlineStr">
        <is>
          <t>검사</t>
        </is>
      </c>
      <c r="E886" t="inlineStr">
        <is>
          <t>IN-01</t>
        </is>
      </c>
      <c r="F886" t="n">
        <v>480</v>
      </c>
      <c r="G886" t="n">
        <v>11</v>
      </c>
      <c r="H886" t="inlineStr">
        <is>
          <t>샘플 재검</t>
        </is>
      </c>
      <c r="I886" t="n">
        <v>5.5</v>
      </c>
      <c r="J886" t="n">
        <v>4785</v>
      </c>
      <c r="K886" t="n">
        <v>4765</v>
      </c>
      <c r="L886" t="inlineStr">
        <is>
          <t>L-0720</t>
        </is>
      </c>
      <c r="M886">
        <f>F886-G886</f>
        <v/>
      </c>
      <c r="N886" s="2">
        <f>M886/F886</f>
        <v/>
      </c>
      <c r="O886" s="2">
        <f>I886*J886/60/M886</f>
        <v/>
      </c>
      <c r="P886" s="2">
        <f>K886/J886</f>
        <v/>
      </c>
      <c r="Q886" s="2">
        <f>N886*O886*P886</f>
        <v/>
      </c>
    </row>
    <row r="887">
      <c r="A887" t="inlineStr">
        <is>
          <t>2026-08-06</t>
        </is>
      </c>
      <c r="B887" t="inlineStr">
        <is>
          <t>야간</t>
        </is>
      </c>
      <c r="C887" t="inlineStr">
        <is>
          <t>P5</t>
        </is>
      </c>
      <c r="D887" t="inlineStr">
        <is>
          <t>검사</t>
        </is>
      </c>
      <c r="E887" t="inlineStr">
        <is>
          <t>IN-02</t>
        </is>
      </c>
      <c r="F887" t="n">
        <v>480</v>
      </c>
      <c r="G887" t="n">
        <v>28</v>
      </c>
      <c r="H887" t="inlineStr">
        <is>
          <t>측정기 교정</t>
        </is>
      </c>
      <c r="I887" t="n">
        <v>5.5</v>
      </c>
      <c r="J887" t="n">
        <v>4612</v>
      </c>
      <c r="K887" t="n">
        <v>4594</v>
      </c>
      <c r="L887" t="inlineStr">
        <is>
          <t>L-0720</t>
        </is>
      </c>
      <c r="M887">
        <f>F887-G887</f>
        <v/>
      </c>
      <c r="N887" s="2">
        <f>M887/F887</f>
        <v/>
      </c>
      <c r="O887" s="2">
        <f>I887*J887/60/M887</f>
        <v/>
      </c>
      <c r="P887" s="2">
        <f>K887/J887</f>
        <v/>
      </c>
      <c r="Q887" s="2">
        <f>N887*O887*P887</f>
        <v/>
      </c>
    </row>
    <row r="888">
      <c r="A888" t="inlineStr">
        <is>
          <t>2026-08-06</t>
        </is>
      </c>
      <c r="B888" t="inlineStr">
        <is>
          <t>야간</t>
        </is>
      </c>
      <c r="C888" t="inlineStr">
        <is>
          <t>P6</t>
        </is>
      </c>
      <c r="D888" t="inlineStr">
        <is>
          <t>포장</t>
        </is>
      </c>
      <c r="E888" t="inlineStr">
        <is>
          <t>PK-01</t>
        </is>
      </c>
      <c r="F888" t="n">
        <v>480</v>
      </c>
      <c r="G888" t="n">
        <v>35</v>
      </c>
      <c r="H888" t="inlineStr">
        <is>
          <t>자재 대기</t>
        </is>
      </c>
      <c r="I888" t="n">
        <v>4.8</v>
      </c>
      <c r="J888" t="n">
        <v>5062</v>
      </c>
      <c r="K888" t="n">
        <v>5045</v>
      </c>
      <c r="L888" t="inlineStr">
        <is>
          <t>L-0720</t>
        </is>
      </c>
      <c r="M888">
        <f>F888-G888</f>
        <v/>
      </c>
      <c r="N888" s="2">
        <f>M888/F888</f>
        <v/>
      </c>
      <c r="O888" s="2">
        <f>I888*J888/60/M888</f>
        <v/>
      </c>
      <c r="P888" s="2">
        <f>K888/J888</f>
        <v/>
      </c>
      <c r="Q888" s="2">
        <f>N888*O888*P888</f>
        <v/>
      </c>
    </row>
    <row r="889">
      <c r="A889" t="inlineStr">
        <is>
          <t>2026-08-06</t>
        </is>
      </c>
      <c r="B889" t="inlineStr">
        <is>
          <t>야간</t>
        </is>
      </c>
      <c r="C889" t="inlineStr">
        <is>
          <t>P6</t>
        </is>
      </c>
      <c r="D889" t="inlineStr">
        <is>
          <t>포장</t>
        </is>
      </c>
      <c r="E889" t="inlineStr">
        <is>
          <t>PK-02</t>
        </is>
      </c>
      <c r="F889" t="n">
        <v>480</v>
      </c>
      <c r="G889" t="n">
        <v>34</v>
      </c>
      <c r="H889" t="inlineStr">
        <is>
          <t>라벨 교체</t>
        </is>
      </c>
      <c r="I889" t="n">
        <v>4.8</v>
      </c>
      <c r="J889" t="n">
        <v>5171</v>
      </c>
      <c r="K889" t="n">
        <v>5155</v>
      </c>
      <c r="L889" t="inlineStr">
        <is>
          <t>L-0720</t>
        </is>
      </c>
      <c r="M889">
        <f>F889-G889</f>
        <v/>
      </c>
      <c r="N889" s="2">
        <f>M889/F889</f>
        <v/>
      </c>
      <c r="O889" s="2">
        <f>I889*J889/60/M889</f>
        <v/>
      </c>
      <c r="P889" s="2">
        <f>K889/J889</f>
        <v/>
      </c>
      <c r="Q889" s="2">
        <f>N889*O889*P889</f>
        <v/>
      </c>
    </row>
    <row r="890">
      <c r="A890" t="inlineStr">
        <is>
          <t>2026-08-07</t>
        </is>
      </c>
      <c r="B890" t="inlineStr">
        <is>
          <t>주간</t>
        </is>
      </c>
      <c r="C890" t="inlineStr">
        <is>
          <t>P1</t>
        </is>
      </c>
      <c r="D890" t="inlineStr">
        <is>
          <t>원료혼합</t>
        </is>
      </c>
      <c r="E890" t="inlineStr">
        <is>
          <t>MX-01</t>
        </is>
      </c>
      <c r="F890" t="n">
        <v>480</v>
      </c>
      <c r="G890" t="n">
        <v>41</v>
      </c>
      <c r="H890" t="inlineStr">
        <is>
          <t>청소</t>
        </is>
      </c>
      <c r="I890" t="n">
        <v>5</v>
      </c>
      <c r="J890" t="n">
        <v>4860</v>
      </c>
      <c r="K890" t="n">
        <v>4831</v>
      </c>
      <c r="L890" t="inlineStr">
        <is>
          <t>L-0720</t>
        </is>
      </c>
      <c r="M890">
        <f>F890-G890</f>
        <v/>
      </c>
      <c r="N890" s="2">
        <f>M890/F890</f>
        <v/>
      </c>
      <c r="O890" s="2">
        <f>I890*J890/60/M890</f>
        <v/>
      </c>
      <c r="P890" s="2">
        <f>K890/J890</f>
        <v/>
      </c>
      <c r="Q890" s="2">
        <f>N890*O890*P890</f>
        <v/>
      </c>
    </row>
    <row r="891">
      <c r="A891" t="inlineStr">
        <is>
          <t>2026-08-07</t>
        </is>
      </c>
      <c r="B891" t="inlineStr">
        <is>
          <t>주간</t>
        </is>
      </c>
      <c r="C891" t="inlineStr">
        <is>
          <t>P1</t>
        </is>
      </c>
      <c r="D891" t="inlineStr">
        <is>
          <t>원료혼합</t>
        </is>
      </c>
      <c r="E891" t="inlineStr">
        <is>
          <t>MX-02</t>
        </is>
      </c>
      <c r="F891" t="n">
        <v>480</v>
      </c>
      <c r="G891" t="n">
        <v>54</v>
      </c>
      <c r="H891" t="inlineStr">
        <is>
          <t>청소</t>
        </is>
      </c>
      <c r="I891" t="n">
        <v>5</v>
      </c>
      <c r="J891" t="n">
        <v>4724</v>
      </c>
      <c r="K891" t="n">
        <v>4697</v>
      </c>
      <c r="L891" t="inlineStr">
        <is>
          <t>L-0720</t>
        </is>
      </c>
      <c r="M891">
        <f>F891-G891</f>
        <v/>
      </c>
      <c r="N891" s="2">
        <f>M891/F891</f>
        <v/>
      </c>
      <c r="O891" s="2">
        <f>I891*J891/60/M891</f>
        <v/>
      </c>
      <c r="P891" s="2">
        <f>K891/J891</f>
        <v/>
      </c>
      <c r="Q891" s="2">
        <f>N891*O891*P891</f>
        <v/>
      </c>
    </row>
    <row r="892">
      <c r="A892" t="inlineStr">
        <is>
          <t>2026-08-07</t>
        </is>
      </c>
      <c r="B892" t="inlineStr">
        <is>
          <t>주간</t>
        </is>
      </c>
      <c r="C892" t="inlineStr">
        <is>
          <t>P2</t>
        </is>
      </c>
      <c r="D892" t="inlineStr">
        <is>
          <t>성형</t>
        </is>
      </c>
      <c r="E892" t="inlineStr">
        <is>
          <t>PR-01</t>
        </is>
      </c>
      <c r="F892" t="n">
        <v>480</v>
      </c>
      <c r="G892" t="n">
        <v>18</v>
      </c>
      <c r="H892" t="inlineStr">
        <is>
          <t>압력 이상</t>
        </is>
      </c>
      <c r="I892" t="n">
        <v>6</v>
      </c>
      <c r="J892" t="n">
        <v>4426</v>
      </c>
      <c r="K892" t="n">
        <v>4366</v>
      </c>
      <c r="L892" t="inlineStr">
        <is>
          <t>L-0720</t>
        </is>
      </c>
      <c r="M892">
        <f>F892-G892</f>
        <v/>
      </c>
      <c r="N892" s="2">
        <f>M892/F892</f>
        <v/>
      </c>
      <c r="O892" s="2">
        <f>I892*J892/60/M892</f>
        <v/>
      </c>
      <c r="P892" s="2">
        <f>K892/J892</f>
        <v/>
      </c>
      <c r="Q892" s="2">
        <f>N892*O892*P892</f>
        <v/>
      </c>
    </row>
    <row r="893">
      <c r="A893" t="inlineStr">
        <is>
          <t>2026-08-07</t>
        </is>
      </c>
      <c r="B893" t="inlineStr">
        <is>
          <t>주간</t>
        </is>
      </c>
      <c r="C893" t="inlineStr">
        <is>
          <t>P2</t>
        </is>
      </c>
      <c r="D893" t="inlineStr">
        <is>
          <t>성형</t>
        </is>
      </c>
      <c r="E893" t="inlineStr">
        <is>
          <t>PR-02</t>
        </is>
      </c>
      <c r="F893" t="n">
        <v>480</v>
      </c>
      <c r="G893" t="n">
        <v>3</v>
      </c>
      <c r="H893" t="inlineStr">
        <is>
          <t>금형 교체</t>
        </is>
      </c>
      <c r="I893" t="n">
        <v>6</v>
      </c>
      <c r="J893" t="n">
        <v>4466</v>
      </c>
      <c r="K893" t="n">
        <v>4397</v>
      </c>
      <c r="L893" t="inlineStr">
        <is>
          <t>L-0720</t>
        </is>
      </c>
      <c r="M893">
        <f>F893-G893</f>
        <v/>
      </c>
      <c r="N893" s="2">
        <f>M893/F893</f>
        <v/>
      </c>
      <c r="O893" s="2">
        <f>I893*J893/60/M893</f>
        <v/>
      </c>
      <c r="P893" s="2">
        <f>K893/J893</f>
        <v/>
      </c>
      <c r="Q893" s="2">
        <f>N893*O893*P893</f>
        <v/>
      </c>
    </row>
    <row r="894">
      <c r="A894" t="inlineStr">
        <is>
          <t>2026-08-07</t>
        </is>
      </c>
      <c r="B894" t="inlineStr">
        <is>
          <t>주간</t>
        </is>
      </c>
      <c r="C894" t="inlineStr">
        <is>
          <t>P3</t>
        </is>
      </c>
      <c r="D894" t="inlineStr">
        <is>
          <t>소결</t>
        </is>
      </c>
      <c r="E894" t="inlineStr">
        <is>
          <t>SF-01</t>
        </is>
      </c>
      <c r="F894" t="n">
        <v>480</v>
      </c>
      <c r="G894" t="n">
        <v>40</v>
      </c>
      <c r="H894" t="inlineStr">
        <is>
          <t>장입 대기</t>
        </is>
      </c>
      <c r="I894" t="n">
        <v>6.5</v>
      </c>
      <c r="J894" t="n">
        <v>3716</v>
      </c>
      <c r="K894" t="n">
        <v>3655</v>
      </c>
      <c r="L894" t="inlineStr">
        <is>
          <t>L-0720</t>
        </is>
      </c>
      <c r="M894">
        <f>F894-G894</f>
        <v/>
      </c>
      <c r="N894" s="2">
        <f>M894/F894</f>
        <v/>
      </c>
      <c r="O894" s="2">
        <f>I894*J894/60/M894</f>
        <v/>
      </c>
      <c r="P894" s="2">
        <f>K894/J894</f>
        <v/>
      </c>
      <c r="Q894" s="2">
        <f>N894*O894*P894</f>
        <v/>
      </c>
    </row>
    <row r="895">
      <c r="A895" t="inlineStr">
        <is>
          <t>2026-08-07</t>
        </is>
      </c>
      <c r="B895" t="inlineStr">
        <is>
          <t>주간</t>
        </is>
      </c>
      <c r="C895" t="inlineStr">
        <is>
          <t>P3</t>
        </is>
      </c>
      <c r="D895" t="inlineStr">
        <is>
          <t>소결</t>
        </is>
      </c>
      <c r="E895" t="inlineStr">
        <is>
          <t>SF-02</t>
        </is>
      </c>
      <c r="F895" t="n">
        <v>480</v>
      </c>
      <c r="G895" t="n">
        <v>83</v>
      </c>
      <c r="H895" t="inlineStr">
        <is>
          <t>장입 대기</t>
        </is>
      </c>
      <c r="I895" t="n">
        <v>6.5</v>
      </c>
      <c r="J895" t="n">
        <v>3408</v>
      </c>
      <c r="K895" t="n">
        <v>3340</v>
      </c>
      <c r="L895" t="inlineStr">
        <is>
          <t>L-0720</t>
        </is>
      </c>
      <c r="M895">
        <f>F895-G895</f>
        <v/>
      </c>
      <c r="N895" s="2">
        <f>M895/F895</f>
        <v/>
      </c>
      <c r="O895" s="2">
        <f>I895*J895/60/M895</f>
        <v/>
      </c>
      <c r="P895" s="2">
        <f>K895/J895</f>
        <v/>
      </c>
      <c r="Q895" s="2">
        <f>N895*O895*P895</f>
        <v/>
      </c>
    </row>
    <row r="896">
      <c r="A896" t="inlineStr">
        <is>
          <t>2026-08-07</t>
        </is>
      </c>
      <c r="B896" t="inlineStr">
        <is>
          <t>주간</t>
        </is>
      </c>
      <c r="C896" t="inlineStr">
        <is>
          <t>P4</t>
        </is>
      </c>
      <c r="D896" t="inlineStr">
        <is>
          <t>연삭</t>
        </is>
      </c>
      <c r="E896" t="inlineStr">
        <is>
          <t>GR-01</t>
        </is>
      </c>
      <c r="F896" t="n">
        <v>480</v>
      </c>
      <c r="G896" t="n">
        <v>44</v>
      </c>
      <c r="H896" t="inlineStr">
        <is>
          <t>공구 교체</t>
        </is>
      </c>
      <c r="I896" t="n">
        <v>6.2</v>
      </c>
      <c r="J896" t="n">
        <v>3944</v>
      </c>
      <c r="K896" t="n">
        <v>3901</v>
      </c>
      <c r="L896" t="inlineStr">
        <is>
          <t>L-0720</t>
        </is>
      </c>
      <c r="M896">
        <f>F896-G896</f>
        <v/>
      </c>
      <c r="N896" s="2">
        <f>M896/F896</f>
        <v/>
      </c>
      <c r="O896" s="2">
        <f>I896*J896/60/M896</f>
        <v/>
      </c>
      <c r="P896" s="2">
        <f>K896/J896</f>
        <v/>
      </c>
      <c r="Q896" s="2">
        <f>N896*O896*P896</f>
        <v/>
      </c>
    </row>
    <row r="897">
      <c r="A897" t="inlineStr">
        <is>
          <t>2026-08-07</t>
        </is>
      </c>
      <c r="B897" t="inlineStr">
        <is>
          <t>주간</t>
        </is>
      </c>
      <c r="C897" t="inlineStr">
        <is>
          <t>P4</t>
        </is>
      </c>
      <c r="D897" t="inlineStr">
        <is>
          <t>연삭</t>
        </is>
      </c>
      <c r="E897" t="inlineStr">
        <is>
          <t>GR-02</t>
        </is>
      </c>
      <c r="F897" t="n">
        <v>480</v>
      </c>
      <c r="G897" t="n">
        <v>40</v>
      </c>
      <c r="H897" t="inlineStr">
        <is>
          <t>드레싱</t>
        </is>
      </c>
      <c r="I897" t="n">
        <v>6.2</v>
      </c>
      <c r="J897" t="n">
        <v>3998</v>
      </c>
      <c r="K897" t="n">
        <v>3954</v>
      </c>
      <c r="L897" t="inlineStr">
        <is>
          <t>L-0720</t>
        </is>
      </c>
      <c r="M897">
        <f>F897-G897</f>
        <v/>
      </c>
      <c r="N897" s="2">
        <f>M897/F897</f>
        <v/>
      </c>
      <c r="O897" s="2">
        <f>I897*J897/60/M897</f>
        <v/>
      </c>
      <c r="P897" s="2">
        <f>K897/J897</f>
        <v/>
      </c>
      <c r="Q897" s="2">
        <f>N897*O897*P897</f>
        <v/>
      </c>
    </row>
    <row r="898">
      <c r="A898" t="inlineStr">
        <is>
          <t>2026-08-07</t>
        </is>
      </c>
      <c r="B898" t="inlineStr">
        <is>
          <t>주간</t>
        </is>
      </c>
      <c r="C898" t="inlineStr">
        <is>
          <t>P5</t>
        </is>
      </c>
      <c r="D898" t="inlineStr">
        <is>
          <t>검사</t>
        </is>
      </c>
      <c r="E898" t="inlineStr">
        <is>
          <t>IN-01</t>
        </is>
      </c>
      <c r="F898" t="n">
        <v>480</v>
      </c>
      <c r="G898" t="n">
        <v>33</v>
      </c>
      <c r="H898" t="inlineStr">
        <is>
          <t>측정기 교정</t>
        </is>
      </c>
      <c r="I898" t="n">
        <v>5.5</v>
      </c>
      <c r="J898" t="n">
        <v>4422</v>
      </c>
      <c r="K898" t="n">
        <v>4413</v>
      </c>
      <c r="L898" t="inlineStr">
        <is>
          <t>L-0720</t>
        </is>
      </c>
      <c r="M898">
        <f>F898-G898</f>
        <v/>
      </c>
      <c r="N898" s="2">
        <f>M898/F898</f>
        <v/>
      </c>
      <c r="O898" s="2">
        <f>I898*J898/60/M898</f>
        <v/>
      </c>
      <c r="P898" s="2">
        <f>K898/J898</f>
        <v/>
      </c>
      <c r="Q898" s="2">
        <f>N898*O898*P898</f>
        <v/>
      </c>
    </row>
    <row r="899">
      <c r="A899" t="inlineStr">
        <is>
          <t>2026-08-07</t>
        </is>
      </c>
      <c r="B899" t="inlineStr">
        <is>
          <t>주간</t>
        </is>
      </c>
      <c r="C899" t="inlineStr">
        <is>
          <t>P5</t>
        </is>
      </c>
      <c r="D899" t="inlineStr">
        <is>
          <t>검사</t>
        </is>
      </c>
      <c r="E899" t="inlineStr">
        <is>
          <t>IN-02</t>
        </is>
      </c>
      <c r="F899" t="n">
        <v>480</v>
      </c>
      <c r="G899" t="n">
        <v>15</v>
      </c>
      <c r="H899" t="inlineStr">
        <is>
          <t>측정기 교정</t>
        </is>
      </c>
      <c r="I899" t="n">
        <v>5.5</v>
      </c>
      <c r="J899" t="n">
        <v>4826</v>
      </c>
      <c r="K899" t="n">
        <v>4811</v>
      </c>
      <c r="L899" t="inlineStr">
        <is>
          <t>L-0720</t>
        </is>
      </c>
      <c r="M899">
        <f>F899-G899</f>
        <v/>
      </c>
      <c r="N899" s="2">
        <f>M899/F899</f>
        <v/>
      </c>
      <c r="O899" s="2">
        <f>I899*J899/60/M899</f>
        <v/>
      </c>
      <c r="P899" s="2">
        <f>K899/J899</f>
        <v/>
      </c>
      <c r="Q899" s="2">
        <f>N899*O899*P899</f>
        <v/>
      </c>
    </row>
    <row r="900">
      <c r="A900" t="inlineStr">
        <is>
          <t>2026-08-07</t>
        </is>
      </c>
      <c r="B900" t="inlineStr">
        <is>
          <t>주간</t>
        </is>
      </c>
      <c r="C900" t="inlineStr">
        <is>
          <t>P6</t>
        </is>
      </c>
      <c r="D900" t="inlineStr">
        <is>
          <t>포장</t>
        </is>
      </c>
      <c r="E900" t="inlineStr">
        <is>
          <t>PK-01</t>
        </is>
      </c>
      <c r="F900" t="n">
        <v>480</v>
      </c>
      <c r="G900" t="n">
        <v>13</v>
      </c>
      <c r="H900" t="inlineStr">
        <is>
          <t>자재 대기</t>
        </is>
      </c>
      <c r="I900" t="n">
        <v>4.8</v>
      </c>
      <c r="J900" t="n">
        <v>5540</v>
      </c>
      <c r="K900" t="n">
        <v>5530</v>
      </c>
      <c r="L900" t="inlineStr">
        <is>
          <t>L-0720</t>
        </is>
      </c>
      <c r="M900">
        <f>F900-G900</f>
        <v/>
      </c>
      <c r="N900" s="2">
        <f>M900/F900</f>
        <v/>
      </c>
      <c r="O900" s="2">
        <f>I900*J900/60/M900</f>
        <v/>
      </c>
      <c r="P900" s="2">
        <f>K900/J900</f>
        <v/>
      </c>
      <c r="Q900" s="2">
        <f>N900*O900*P900</f>
        <v/>
      </c>
    </row>
    <row r="901">
      <c r="A901" t="inlineStr">
        <is>
          <t>2026-08-07</t>
        </is>
      </c>
      <c r="B901" t="inlineStr">
        <is>
          <t>주간</t>
        </is>
      </c>
      <c r="C901" t="inlineStr">
        <is>
          <t>P6</t>
        </is>
      </c>
      <c r="D901" t="inlineStr">
        <is>
          <t>포장</t>
        </is>
      </c>
      <c r="E901" t="inlineStr">
        <is>
          <t>PK-02</t>
        </is>
      </c>
      <c r="F901" t="n">
        <v>480</v>
      </c>
      <c r="G901" t="n">
        <v>27</v>
      </c>
      <c r="H901" t="inlineStr">
        <is>
          <t>라벨 교체</t>
        </is>
      </c>
      <c r="I901" t="n">
        <v>4.8</v>
      </c>
      <c r="J901" t="n">
        <v>5463</v>
      </c>
      <c r="K901" t="n">
        <v>5452</v>
      </c>
      <c r="L901" t="inlineStr">
        <is>
          <t>L-0720</t>
        </is>
      </c>
      <c r="M901">
        <f>F901-G901</f>
        <v/>
      </c>
      <c r="N901" s="2">
        <f>M901/F901</f>
        <v/>
      </c>
      <c r="O901" s="2">
        <f>I901*J901/60/M901</f>
        <v/>
      </c>
      <c r="P901" s="2">
        <f>K901/J901</f>
        <v/>
      </c>
      <c r="Q901" s="2">
        <f>N901*O901*P901</f>
        <v/>
      </c>
    </row>
    <row r="902">
      <c r="A902" t="inlineStr">
        <is>
          <t>2026-08-07</t>
        </is>
      </c>
      <c r="B902" t="inlineStr">
        <is>
          <t>야간</t>
        </is>
      </c>
      <c r="C902" t="inlineStr">
        <is>
          <t>P1</t>
        </is>
      </c>
      <c r="D902" t="inlineStr">
        <is>
          <t>원료혼합</t>
        </is>
      </c>
      <c r="E902" t="inlineStr">
        <is>
          <t>MX-01</t>
        </is>
      </c>
      <c r="F902" t="n">
        <v>480</v>
      </c>
      <c r="G902" t="n">
        <v>65</v>
      </c>
      <c r="H902" t="inlineStr">
        <is>
          <t>청소</t>
        </is>
      </c>
      <c r="I902" t="n">
        <v>5</v>
      </c>
      <c r="J902" t="n">
        <v>4708</v>
      </c>
      <c r="K902" t="n">
        <v>4676</v>
      </c>
      <c r="L902" t="inlineStr">
        <is>
          <t>L-0720</t>
        </is>
      </c>
      <c r="M902">
        <f>F902-G902</f>
        <v/>
      </c>
      <c r="N902" s="2">
        <f>M902/F902</f>
        <v/>
      </c>
      <c r="O902" s="2">
        <f>I902*J902/60/M902</f>
        <v/>
      </c>
      <c r="P902" s="2">
        <f>K902/J902</f>
        <v/>
      </c>
      <c r="Q902" s="2">
        <f>N902*O902*P902</f>
        <v/>
      </c>
    </row>
    <row r="903">
      <c r="A903" t="inlineStr">
        <is>
          <t>2026-08-07</t>
        </is>
      </c>
      <c r="B903" t="inlineStr">
        <is>
          <t>야간</t>
        </is>
      </c>
      <c r="C903" t="inlineStr">
        <is>
          <t>P1</t>
        </is>
      </c>
      <c r="D903" t="inlineStr">
        <is>
          <t>원료혼합</t>
        </is>
      </c>
      <c r="E903" t="inlineStr">
        <is>
          <t>MX-02</t>
        </is>
      </c>
      <c r="F903" t="n">
        <v>480</v>
      </c>
      <c r="G903" t="n">
        <v>27</v>
      </c>
      <c r="H903" t="inlineStr">
        <is>
          <t>원료 대기</t>
        </is>
      </c>
      <c r="I903" t="n">
        <v>5</v>
      </c>
      <c r="J903" t="n">
        <v>5076</v>
      </c>
      <c r="K903" t="n">
        <v>5041</v>
      </c>
      <c r="L903" t="inlineStr">
        <is>
          <t>L-0720</t>
        </is>
      </c>
      <c r="M903">
        <f>F903-G903</f>
        <v/>
      </c>
      <c r="N903" s="2">
        <f>M903/F903</f>
        <v/>
      </c>
      <c r="O903" s="2">
        <f>I903*J903/60/M903</f>
        <v/>
      </c>
      <c r="P903" s="2">
        <f>K903/J903</f>
        <v/>
      </c>
      <c r="Q903" s="2">
        <f>N903*O903*P903</f>
        <v/>
      </c>
    </row>
    <row r="904">
      <c r="A904" t="inlineStr">
        <is>
          <t>2026-08-07</t>
        </is>
      </c>
      <c r="B904" t="inlineStr">
        <is>
          <t>야간</t>
        </is>
      </c>
      <c r="C904" t="inlineStr">
        <is>
          <t>P2</t>
        </is>
      </c>
      <c r="D904" t="inlineStr">
        <is>
          <t>성형</t>
        </is>
      </c>
      <c r="E904" t="inlineStr">
        <is>
          <t>PR-01</t>
        </is>
      </c>
      <c r="F904" t="n">
        <v>480</v>
      </c>
      <c r="G904" t="n">
        <v>14</v>
      </c>
      <c r="H904" t="inlineStr">
        <is>
          <t>금형 교체</t>
        </is>
      </c>
      <c r="I904" t="n">
        <v>6</v>
      </c>
      <c r="J904" t="n">
        <v>4145</v>
      </c>
      <c r="K904" t="n">
        <v>4073</v>
      </c>
      <c r="L904" t="inlineStr">
        <is>
          <t>L-0720</t>
        </is>
      </c>
      <c r="M904">
        <f>F904-G904</f>
        <v/>
      </c>
      <c r="N904" s="2">
        <f>M904/F904</f>
        <v/>
      </c>
      <c r="O904" s="2">
        <f>I904*J904/60/M904</f>
        <v/>
      </c>
      <c r="P904" s="2">
        <f>K904/J904</f>
        <v/>
      </c>
      <c r="Q904" s="2">
        <f>N904*O904*P904</f>
        <v/>
      </c>
    </row>
    <row r="905">
      <c r="A905" t="inlineStr">
        <is>
          <t>2026-08-07</t>
        </is>
      </c>
      <c r="B905" t="inlineStr">
        <is>
          <t>야간</t>
        </is>
      </c>
      <c r="C905" t="inlineStr">
        <is>
          <t>P2</t>
        </is>
      </c>
      <c r="D905" t="inlineStr">
        <is>
          <t>성형</t>
        </is>
      </c>
      <c r="E905" t="inlineStr">
        <is>
          <t>PR-02</t>
        </is>
      </c>
      <c r="F905" t="n">
        <v>480</v>
      </c>
      <c r="G905" t="n">
        <v>47</v>
      </c>
      <c r="H905" t="inlineStr">
        <is>
          <t>분말 공급 지연</t>
        </is>
      </c>
      <c r="I905" t="n">
        <v>6</v>
      </c>
      <c r="J905" t="n">
        <v>3897</v>
      </c>
      <c r="K905" t="n">
        <v>3810</v>
      </c>
      <c r="L905" t="inlineStr">
        <is>
          <t>L-0720</t>
        </is>
      </c>
      <c r="M905">
        <f>F905-G905</f>
        <v/>
      </c>
      <c r="N905" s="2">
        <f>M905/F905</f>
        <v/>
      </c>
      <c r="O905" s="2">
        <f>I905*J905/60/M905</f>
        <v/>
      </c>
      <c r="P905" s="2">
        <f>K905/J905</f>
        <v/>
      </c>
      <c r="Q905" s="2">
        <f>N905*O905*P905</f>
        <v/>
      </c>
    </row>
    <row r="906">
      <c r="A906" t="inlineStr">
        <is>
          <t>2026-08-07</t>
        </is>
      </c>
      <c r="B906" t="inlineStr">
        <is>
          <t>야간</t>
        </is>
      </c>
      <c r="C906" t="inlineStr">
        <is>
          <t>P3</t>
        </is>
      </c>
      <c r="D906" t="inlineStr">
        <is>
          <t>소결</t>
        </is>
      </c>
      <c r="E906" t="inlineStr">
        <is>
          <t>SF-01</t>
        </is>
      </c>
      <c r="F906" t="n">
        <v>480</v>
      </c>
      <c r="G906" t="n">
        <v>33</v>
      </c>
      <c r="H906" t="inlineStr">
        <is>
          <t>장입 대기</t>
        </is>
      </c>
      <c r="I906" t="n">
        <v>6.5</v>
      </c>
      <c r="J906" t="n">
        <v>3801</v>
      </c>
      <c r="K906" t="n">
        <v>3732</v>
      </c>
      <c r="L906" t="inlineStr">
        <is>
          <t>L-0720</t>
        </is>
      </c>
      <c r="M906">
        <f>F906-G906</f>
        <v/>
      </c>
      <c r="N906" s="2">
        <f>M906/F906</f>
        <v/>
      </c>
      <c r="O906" s="2">
        <f>I906*J906/60/M906</f>
        <v/>
      </c>
      <c r="P906" s="2">
        <f>K906/J906</f>
        <v/>
      </c>
      <c r="Q906" s="2">
        <f>N906*O906*P906</f>
        <v/>
      </c>
    </row>
    <row r="907">
      <c r="A907" t="inlineStr">
        <is>
          <t>2026-08-07</t>
        </is>
      </c>
      <c r="B907" t="inlineStr">
        <is>
          <t>야간</t>
        </is>
      </c>
      <c r="C907" t="inlineStr">
        <is>
          <t>P3</t>
        </is>
      </c>
      <c r="D907" t="inlineStr">
        <is>
          <t>소결</t>
        </is>
      </c>
      <c r="E907" t="inlineStr">
        <is>
          <t>SF-02</t>
        </is>
      </c>
      <c r="F907" t="n">
        <v>480</v>
      </c>
      <c r="G907" t="n">
        <v>66</v>
      </c>
      <c r="H907" t="inlineStr">
        <is>
          <t>장입 대기</t>
        </is>
      </c>
      <c r="I907" t="n">
        <v>6.5</v>
      </c>
      <c r="J907" t="n">
        <v>3575</v>
      </c>
      <c r="K907" t="n">
        <v>3502</v>
      </c>
      <c r="L907" t="inlineStr">
        <is>
          <t>L-0720</t>
        </is>
      </c>
      <c r="M907">
        <f>F907-G907</f>
        <v/>
      </c>
      <c r="N907" s="2">
        <f>M907/F907</f>
        <v/>
      </c>
      <c r="O907" s="2">
        <f>I907*J907/60/M907</f>
        <v/>
      </c>
      <c r="P907" s="2">
        <f>K907/J907</f>
        <v/>
      </c>
      <c r="Q907" s="2">
        <f>N907*O907*P907</f>
        <v/>
      </c>
    </row>
    <row r="908">
      <c r="A908" t="inlineStr">
        <is>
          <t>2026-08-07</t>
        </is>
      </c>
      <c r="B908" t="inlineStr">
        <is>
          <t>야간</t>
        </is>
      </c>
      <c r="C908" t="inlineStr">
        <is>
          <t>P4</t>
        </is>
      </c>
      <c r="D908" t="inlineStr">
        <is>
          <t>연삭</t>
        </is>
      </c>
      <c r="E908" t="inlineStr">
        <is>
          <t>GR-01</t>
        </is>
      </c>
      <c r="F908" t="n">
        <v>480</v>
      </c>
      <c r="G908" t="n">
        <v>39</v>
      </c>
      <c r="H908" t="inlineStr">
        <is>
          <t>드레싱</t>
        </is>
      </c>
      <c r="I908" t="n">
        <v>6.2</v>
      </c>
      <c r="J908" t="n">
        <v>4137</v>
      </c>
      <c r="K908" t="n">
        <v>4093</v>
      </c>
      <c r="L908" t="inlineStr">
        <is>
          <t>L-0720</t>
        </is>
      </c>
      <c r="M908">
        <f>F908-G908</f>
        <v/>
      </c>
      <c r="N908" s="2">
        <f>M908/F908</f>
        <v/>
      </c>
      <c r="O908" s="2">
        <f>I908*J908/60/M908</f>
        <v/>
      </c>
      <c r="P908" s="2">
        <f>K908/J908</f>
        <v/>
      </c>
      <c r="Q908" s="2">
        <f>N908*O908*P908</f>
        <v/>
      </c>
    </row>
    <row r="909">
      <c r="A909" t="inlineStr">
        <is>
          <t>2026-08-07</t>
        </is>
      </c>
      <c r="B909" t="inlineStr">
        <is>
          <t>야간</t>
        </is>
      </c>
      <c r="C909" t="inlineStr">
        <is>
          <t>P4</t>
        </is>
      </c>
      <c r="D909" t="inlineStr">
        <is>
          <t>연삭</t>
        </is>
      </c>
      <c r="E909" t="inlineStr">
        <is>
          <t>GR-02</t>
        </is>
      </c>
      <c r="F909" t="n">
        <v>480</v>
      </c>
      <c r="G909" t="n">
        <v>82</v>
      </c>
      <c r="H909" t="inlineStr">
        <is>
          <t>공구 교체</t>
        </is>
      </c>
      <c r="I909" t="n">
        <v>6.2</v>
      </c>
      <c r="J909" t="n">
        <v>3748</v>
      </c>
      <c r="K909" t="n">
        <v>3705</v>
      </c>
      <c r="L909" t="inlineStr">
        <is>
          <t>L-0720</t>
        </is>
      </c>
      <c r="M909">
        <f>F909-G909</f>
        <v/>
      </c>
      <c r="N909" s="2">
        <f>M909/F909</f>
        <v/>
      </c>
      <c r="O909" s="2">
        <f>I909*J909/60/M909</f>
        <v/>
      </c>
      <c r="P909" s="2">
        <f>K909/J909</f>
        <v/>
      </c>
      <c r="Q909" s="2">
        <f>N909*O909*P909</f>
        <v/>
      </c>
    </row>
    <row r="910">
      <c r="A910" t="inlineStr">
        <is>
          <t>2026-08-07</t>
        </is>
      </c>
      <c r="B910" t="inlineStr">
        <is>
          <t>야간</t>
        </is>
      </c>
      <c r="C910" t="inlineStr">
        <is>
          <t>P5</t>
        </is>
      </c>
      <c r="D910" t="inlineStr">
        <is>
          <t>검사</t>
        </is>
      </c>
      <c r="E910" t="inlineStr">
        <is>
          <t>IN-01</t>
        </is>
      </c>
      <c r="F910" t="n">
        <v>480</v>
      </c>
      <c r="G910" t="n">
        <v>9</v>
      </c>
      <c r="H910" t="inlineStr">
        <is>
          <t>샘플 재검</t>
        </is>
      </c>
      <c r="I910" t="n">
        <v>5.5</v>
      </c>
      <c r="J910" t="n">
        <v>4771</v>
      </c>
      <c r="K910" t="n">
        <v>4756</v>
      </c>
      <c r="L910" t="inlineStr">
        <is>
          <t>L-0720</t>
        </is>
      </c>
      <c r="M910">
        <f>F910-G910</f>
        <v/>
      </c>
      <c r="N910" s="2">
        <f>M910/F910</f>
        <v/>
      </c>
      <c r="O910" s="2">
        <f>I910*J910/60/M910</f>
        <v/>
      </c>
      <c r="P910" s="2">
        <f>K910/J910</f>
        <v/>
      </c>
      <c r="Q910" s="2">
        <f>N910*O910*P910</f>
        <v/>
      </c>
    </row>
    <row r="911">
      <c r="A911" t="inlineStr">
        <is>
          <t>2026-08-07</t>
        </is>
      </c>
      <c r="B911" t="inlineStr">
        <is>
          <t>야간</t>
        </is>
      </c>
      <c r="C911" t="inlineStr">
        <is>
          <t>P5</t>
        </is>
      </c>
      <c r="D911" t="inlineStr">
        <is>
          <t>검사</t>
        </is>
      </c>
      <c r="E911" t="inlineStr">
        <is>
          <t>IN-02</t>
        </is>
      </c>
      <c r="F911" t="n">
        <v>480</v>
      </c>
      <c r="G911" t="n">
        <v>9</v>
      </c>
      <c r="H911" t="inlineStr">
        <is>
          <t>측정기 교정</t>
        </is>
      </c>
      <c r="I911" t="n">
        <v>5.5</v>
      </c>
      <c r="J911" t="n">
        <v>4704</v>
      </c>
      <c r="K911" t="n">
        <v>4687</v>
      </c>
      <c r="L911" t="inlineStr">
        <is>
          <t>L-0720</t>
        </is>
      </c>
      <c r="M911">
        <f>F911-G911</f>
        <v/>
      </c>
      <c r="N911" s="2">
        <f>M911/F911</f>
        <v/>
      </c>
      <c r="O911" s="2">
        <f>I911*J911/60/M911</f>
        <v/>
      </c>
      <c r="P911" s="2">
        <f>K911/J911</f>
        <v/>
      </c>
      <c r="Q911" s="2">
        <f>N911*O911*P911</f>
        <v/>
      </c>
    </row>
    <row r="912">
      <c r="A912" t="inlineStr">
        <is>
          <t>2026-08-07</t>
        </is>
      </c>
      <c r="B912" t="inlineStr">
        <is>
          <t>야간</t>
        </is>
      </c>
      <c r="C912" t="inlineStr">
        <is>
          <t>P6</t>
        </is>
      </c>
      <c r="D912" t="inlineStr">
        <is>
          <t>포장</t>
        </is>
      </c>
      <c r="E912" t="inlineStr">
        <is>
          <t>PK-01</t>
        </is>
      </c>
      <c r="F912" t="n">
        <v>480</v>
      </c>
      <c r="G912" t="n">
        <v>12</v>
      </c>
      <c r="H912" t="inlineStr">
        <is>
          <t>자재 대기</t>
        </is>
      </c>
      <c r="I912" t="n">
        <v>4.8</v>
      </c>
      <c r="J912" t="n">
        <v>5203</v>
      </c>
      <c r="K912" t="n">
        <v>5188</v>
      </c>
      <c r="L912" t="inlineStr">
        <is>
          <t>L-0720</t>
        </is>
      </c>
      <c r="M912">
        <f>F912-G912</f>
        <v/>
      </c>
      <c r="N912" s="2">
        <f>M912/F912</f>
        <v/>
      </c>
      <c r="O912" s="2">
        <f>I912*J912/60/M912</f>
        <v/>
      </c>
      <c r="P912" s="2">
        <f>K912/J912</f>
        <v/>
      </c>
      <c r="Q912" s="2">
        <f>N912*O912*P912</f>
        <v/>
      </c>
    </row>
    <row r="913">
      <c r="A913" t="inlineStr">
        <is>
          <t>2026-08-07</t>
        </is>
      </c>
      <c r="B913" t="inlineStr">
        <is>
          <t>야간</t>
        </is>
      </c>
      <c r="C913" t="inlineStr">
        <is>
          <t>P6</t>
        </is>
      </c>
      <c r="D913" t="inlineStr">
        <is>
          <t>포장</t>
        </is>
      </c>
      <c r="E913" t="inlineStr">
        <is>
          <t>PK-02</t>
        </is>
      </c>
      <c r="F913" t="n">
        <v>480</v>
      </c>
      <c r="G913" t="n">
        <v>6</v>
      </c>
      <c r="H913" t="inlineStr">
        <is>
          <t>라벨 교체</t>
        </is>
      </c>
      <c r="I913" t="n">
        <v>4.8</v>
      </c>
      <c r="J913" t="n">
        <v>5314</v>
      </c>
      <c r="K913" t="n">
        <v>5297</v>
      </c>
      <c r="L913" t="inlineStr">
        <is>
          <t>L-0720</t>
        </is>
      </c>
      <c r="M913">
        <f>F913-G913</f>
        <v/>
      </c>
      <c r="N913" s="2">
        <f>M913/F913</f>
        <v/>
      </c>
      <c r="O913" s="2">
        <f>I913*J913/60/M913</f>
        <v/>
      </c>
      <c r="P913" s="2">
        <f>K913/J913</f>
        <v/>
      </c>
      <c r="Q913" s="2">
        <f>N913*O913*P913</f>
        <v/>
      </c>
    </row>
    <row r="914">
      <c r="A914" t="inlineStr">
        <is>
          <t>2026-08-08</t>
        </is>
      </c>
      <c r="B914" t="inlineStr">
        <is>
          <t>주간</t>
        </is>
      </c>
      <c r="C914" t="inlineStr">
        <is>
          <t>P1</t>
        </is>
      </c>
      <c r="D914" t="inlineStr">
        <is>
          <t>원료혼합</t>
        </is>
      </c>
      <c r="E914" t="inlineStr">
        <is>
          <t>MX-01</t>
        </is>
      </c>
      <c r="F914" t="n">
        <v>480</v>
      </c>
      <c r="G914" t="n">
        <v>9</v>
      </c>
      <c r="H914" t="inlineStr">
        <is>
          <t>청소</t>
        </is>
      </c>
      <c r="I914" t="n">
        <v>5</v>
      </c>
      <c r="J914" t="n">
        <v>5553</v>
      </c>
      <c r="K914" t="n">
        <v>5521</v>
      </c>
      <c r="L914" t="inlineStr">
        <is>
          <t>L-0720</t>
        </is>
      </c>
      <c r="M914">
        <f>F914-G914</f>
        <v/>
      </c>
      <c r="N914" s="2">
        <f>M914/F914</f>
        <v/>
      </c>
      <c r="O914" s="2">
        <f>I914*J914/60/M914</f>
        <v/>
      </c>
      <c r="P914" s="2">
        <f>K914/J914</f>
        <v/>
      </c>
      <c r="Q914" s="2">
        <f>N914*O914*P914</f>
        <v/>
      </c>
    </row>
    <row r="915">
      <c r="A915" t="inlineStr">
        <is>
          <t>2026-08-08</t>
        </is>
      </c>
      <c r="B915" t="inlineStr">
        <is>
          <t>주간</t>
        </is>
      </c>
      <c r="C915" t="inlineStr">
        <is>
          <t>P1</t>
        </is>
      </c>
      <c r="D915" t="inlineStr">
        <is>
          <t>원료혼합</t>
        </is>
      </c>
      <c r="E915" t="inlineStr">
        <is>
          <t>MX-02</t>
        </is>
      </c>
      <c r="F915" t="n">
        <v>480</v>
      </c>
      <c r="G915" t="n">
        <v>11</v>
      </c>
      <c r="H915" t="inlineStr">
        <is>
          <t>배합 확인</t>
        </is>
      </c>
      <c r="I915" t="n">
        <v>5</v>
      </c>
      <c r="J915" t="n">
        <v>5038</v>
      </c>
      <c r="K915" t="n">
        <v>5010</v>
      </c>
      <c r="L915" t="inlineStr">
        <is>
          <t>L-0720</t>
        </is>
      </c>
      <c r="M915">
        <f>F915-G915</f>
        <v/>
      </c>
      <c r="N915" s="2">
        <f>M915/F915</f>
        <v/>
      </c>
      <c r="O915" s="2">
        <f>I915*J915/60/M915</f>
        <v/>
      </c>
      <c r="P915" s="2">
        <f>K915/J915</f>
        <v/>
      </c>
      <c r="Q915" s="2">
        <f>N915*O915*P915</f>
        <v/>
      </c>
    </row>
    <row r="916">
      <c r="A916" t="inlineStr">
        <is>
          <t>2026-08-08</t>
        </is>
      </c>
      <c r="B916" t="inlineStr">
        <is>
          <t>주간</t>
        </is>
      </c>
      <c r="C916" t="inlineStr">
        <is>
          <t>P2</t>
        </is>
      </c>
      <c r="D916" t="inlineStr">
        <is>
          <t>성형</t>
        </is>
      </c>
      <c r="E916" t="inlineStr">
        <is>
          <t>PR-01</t>
        </is>
      </c>
      <c r="F916" t="n">
        <v>480</v>
      </c>
      <c r="G916" t="n">
        <v>20</v>
      </c>
      <c r="H916" t="inlineStr">
        <is>
          <t>압력 이상</t>
        </is>
      </c>
      <c r="I916" t="n">
        <v>6</v>
      </c>
      <c r="J916" t="n">
        <v>4128</v>
      </c>
      <c r="K916" t="n">
        <v>4076</v>
      </c>
      <c r="L916" t="inlineStr">
        <is>
          <t>L-0720</t>
        </is>
      </c>
      <c r="M916">
        <f>F916-G916</f>
        <v/>
      </c>
      <c r="N916" s="2">
        <f>M916/F916</f>
        <v/>
      </c>
      <c r="O916" s="2">
        <f>I916*J916/60/M916</f>
        <v/>
      </c>
      <c r="P916" s="2">
        <f>K916/J916</f>
        <v/>
      </c>
      <c r="Q916" s="2">
        <f>N916*O916*P916</f>
        <v/>
      </c>
    </row>
    <row r="917">
      <c r="A917" t="inlineStr">
        <is>
          <t>2026-08-08</t>
        </is>
      </c>
      <c r="B917" t="inlineStr">
        <is>
          <t>주간</t>
        </is>
      </c>
      <c r="C917" t="inlineStr">
        <is>
          <t>P2</t>
        </is>
      </c>
      <c r="D917" t="inlineStr">
        <is>
          <t>성형</t>
        </is>
      </c>
      <c r="E917" t="inlineStr">
        <is>
          <t>PR-02</t>
        </is>
      </c>
      <c r="F917" t="n">
        <v>480</v>
      </c>
      <c r="G917" t="n">
        <v>36</v>
      </c>
      <c r="H917" t="inlineStr">
        <is>
          <t>압력 이상</t>
        </is>
      </c>
      <c r="I917" t="n">
        <v>6</v>
      </c>
      <c r="J917" t="n">
        <v>4164</v>
      </c>
      <c r="K917" t="n">
        <v>4116</v>
      </c>
      <c r="L917" t="inlineStr">
        <is>
          <t>L-0720</t>
        </is>
      </c>
      <c r="M917">
        <f>F917-G917</f>
        <v/>
      </c>
      <c r="N917" s="2">
        <f>M917/F917</f>
        <v/>
      </c>
      <c r="O917" s="2">
        <f>I917*J917/60/M917</f>
        <v/>
      </c>
      <c r="P917" s="2">
        <f>K917/J917</f>
        <v/>
      </c>
      <c r="Q917" s="2">
        <f>N917*O917*P917</f>
        <v/>
      </c>
    </row>
    <row r="918">
      <c r="A918" t="inlineStr">
        <is>
          <t>2026-08-08</t>
        </is>
      </c>
      <c r="B918" t="inlineStr">
        <is>
          <t>주간</t>
        </is>
      </c>
      <c r="C918" t="inlineStr">
        <is>
          <t>P3</t>
        </is>
      </c>
      <c r="D918" t="inlineStr">
        <is>
          <t>소결</t>
        </is>
      </c>
      <c r="E918" t="inlineStr">
        <is>
          <t>SF-01</t>
        </is>
      </c>
      <c r="F918" t="n">
        <v>480</v>
      </c>
      <c r="G918" t="n">
        <v>55</v>
      </c>
      <c r="H918" t="inlineStr">
        <is>
          <t>온도 이상 정지</t>
        </is>
      </c>
      <c r="I918" t="n">
        <v>6.5</v>
      </c>
      <c r="J918" t="n">
        <v>3730</v>
      </c>
      <c r="K918" t="n">
        <v>3660</v>
      </c>
      <c r="L918" t="inlineStr">
        <is>
          <t>L-0720</t>
        </is>
      </c>
      <c r="M918">
        <f>F918-G918</f>
        <v/>
      </c>
      <c r="N918" s="2">
        <f>M918/F918</f>
        <v/>
      </c>
      <c r="O918" s="2">
        <f>I918*J918/60/M918</f>
        <v/>
      </c>
      <c r="P918" s="2">
        <f>K918/J918</f>
        <v/>
      </c>
      <c r="Q918" s="2">
        <f>N918*O918*P918</f>
        <v/>
      </c>
    </row>
    <row r="919">
      <c r="A919" t="inlineStr">
        <is>
          <t>2026-08-08</t>
        </is>
      </c>
      <c r="B919" t="inlineStr">
        <is>
          <t>주간</t>
        </is>
      </c>
      <c r="C919" t="inlineStr">
        <is>
          <t>P3</t>
        </is>
      </c>
      <c r="D919" t="inlineStr">
        <is>
          <t>소결</t>
        </is>
      </c>
      <c r="E919" t="inlineStr">
        <is>
          <t>SF-02</t>
        </is>
      </c>
      <c r="F919" t="n">
        <v>480</v>
      </c>
      <c r="G919" t="n">
        <v>29</v>
      </c>
      <c r="H919" t="inlineStr">
        <is>
          <t>온도 이상 정지</t>
        </is>
      </c>
      <c r="I919" t="n">
        <v>6.5</v>
      </c>
      <c r="J919" t="n">
        <v>3824</v>
      </c>
      <c r="K919" t="n">
        <v>3756</v>
      </c>
      <c r="L919" t="inlineStr">
        <is>
          <t>L-0720</t>
        </is>
      </c>
      <c r="M919">
        <f>F919-G919</f>
        <v/>
      </c>
      <c r="N919" s="2">
        <f>M919/F919</f>
        <v/>
      </c>
      <c r="O919" s="2">
        <f>I919*J919/60/M919</f>
        <v/>
      </c>
      <c r="P919" s="2">
        <f>K919/J919</f>
        <v/>
      </c>
      <c r="Q919" s="2">
        <f>N919*O919*P919</f>
        <v/>
      </c>
    </row>
    <row r="920">
      <c r="A920" t="inlineStr">
        <is>
          <t>2026-08-08</t>
        </is>
      </c>
      <c r="B920" t="inlineStr">
        <is>
          <t>주간</t>
        </is>
      </c>
      <c r="C920" t="inlineStr">
        <is>
          <t>P4</t>
        </is>
      </c>
      <c r="D920" t="inlineStr">
        <is>
          <t>연삭</t>
        </is>
      </c>
      <c r="E920" t="inlineStr">
        <is>
          <t>GR-01</t>
        </is>
      </c>
      <c r="F920" t="n">
        <v>480</v>
      </c>
      <c r="G920" t="n">
        <v>60</v>
      </c>
      <c r="H920" t="inlineStr">
        <is>
          <t>공구 교체</t>
        </is>
      </c>
      <c r="I920" t="n">
        <v>6.2</v>
      </c>
      <c r="J920" t="n">
        <v>3741</v>
      </c>
      <c r="K920" t="n">
        <v>3703</v>
      </c>
      <c r="L920" t="inlineStr">
        <is>
          <t>L-0720</t>
        </is>
      </c>
      <c r="M920">
        <f>F920-G920</f>
        <v/>
      </c>
      <c r="N920" s="2">
        <f>M920/F920</f>
        <v/>
      </c>
      <c r="O920" s="2">
        <f>I920*J920/60/M920</f>
        <v/>
      </c>
      <c r="P920" s="2">
        <f>K920/J920</f>
        <v/>
      </c>
      <c r="Q920" s="2">
        <f>N920*O920*P920</f>
        <v/>
      </c>
    </row>
    <row r="921">
      <c r="A921" t="inlineStr">
        <is>
          <t>2026-08-08</t>
        </is>
      </c>
      <c r="B921" t="inlineStr">
        <is>
          <t>주간</t>
        </is>
      </c>
      <c r="C921" t="inlineStr">
        <is>
          <t>P4</t>
        </is>
      </c>
      <c r="D921" t="inlineStr">
        <is>
          <t>연삭</t>
        </is>
      </c>
      <c r="E921" t="inlineStr">
        <is>
          <t>GR-02</t>
        </is>
      </c>
      <c r="F921" t="n">
        <v>480</v>
      </c>
      <c r="G921" t="n">
        <v>47</v>
      </c>
      <c r="H921" t="inlineStr">
        <is>
          <t>드레싱</t>
        </is>
      </c>
      <c r="I921" t="n">
        <v>6.2</v>
      </c>
      <c r="J921" t="n">
        <v>4060</v>
      </c>
      <c r="K921" t="n">
        <v>4023</v>
      </c>
      <c r="L921" t="inlineStr">
        <is>
          <t>L-0720</t>
        </is>
      </c>
      <c r="M921">
        <f>F921-G921</f>
        <v/>
      </c>
      <c r="N921" s="2">
        <f>M921/F921</f>
        <v/>
      </c>
      <c r="O921" s="2">
        <f>I921*J921/60/M921</f>
        <v/>
      </c>
      <c r="P921" s="2">
        <f>K921/J921</f>
        <v/>
      </c>
      <c r="Q921" s="2">
        <f>N921*O921*P921</f>
        <v/>
      </c>
    </row>
    <row r="922">
      <c r="A922" t="inlineStr">
        <is>
          <t>2026-08-08</t>
        </is>
      </c>
      <c r="B922" t="inlineStr">
        <is>
          <t>주간</t>
        </is>
      </c>
      <c r="C922" t="inlineStr">
        <is>
          <t>P5</t>
        </is>
      </c>
      <c r="D922" t="inlineStr">
        <is>
          <t>검사</t>
        </is>
      </c>
      <c r="E922" t="inlineStr">
        <is>
          <t>IN-01</t>
        </is>
      </c>
      <c r="F922" t="n">
        <v>480</v>
      </c>
      <c r="G922" t="n">
        <v>2</v>
      </c>
      <c r="H922" t="inlineStr">
        <is>
          <t>샘플 재검</t>
        </is>
      </c>
      <c r="I922" t="n">
        <v>5.5</v>
      </c>
      <c r="J922" t="n">
        <v>4940</v>
      </c>
      <c r="K922" t="n">
        <v>4923</v>
      </c>
      <c r="L922" t="inlineStr">
        <is>
          <t>L-0720</t>
        </is>
      </c>
      <c r="M922">
        <f>F922-G922</f>
        <v/>
      </c>
      <c r="N922" s="2">
        <f>M922/F922</f>
        <v/>
      </c>
      <c r="O922" s="2">
        <f>I922*J922/60/M922</f>
        <v/>
      </c>
      <c r="P922" s="2">
        <f>K922/J922</f>
        <v/>
      </c>
      <c r="Q922" s="2">
        <f>N922*O922*P922</f>
        <v/>
      </c>
    </row>
    <row r="923">
      <c r="A923" t="inlineStr">
        <is>
          <t>2026-08-08</t>
        </is>
      </c>
      <c r="B923" t="inlineStr">
        <is>
          <t>주간</t>
        </is>
      </c>
      <c r="C923" t="inlineStr">
        <is>
          <t>P5</t>
        </is>
      </c>
      <c r="D923" t="inlineStr">
        <is>
          <t>검사</t>
        </is>
      </c>
      <c r="E923" t="inlineStr">
        <is>
          <t>IN-02</t>
        </is>
      </c>
      <c r="F923" t="n">
        <v>480</v>
      </c>
      <c r="G923" t="n">
        <v>56</v>
      </c>
      <c r="H923" t="inlineStr">
        <is>
          <t>샘플 재검</t>
        </is>
      </c>
      <c r="I923" t="n">
        <v>5.5</v>
      </c>
      <c r="J923" t="n">
        <v>4246</v>
      </c>
      <c r="K923" t="n">
        <v>4233</v>
      </c>
      <c r="L923" t="inlineStr">
        <is>
          <t>L-0720</t>
        </is>
      </c>
      <c r="M923">
        <f>F923-G923</f>
        <v/>
      </c>
      <c r="N923" s="2">
        <f>M923/F923</f>
        <v/>
      </c>
      <c r="O923" s="2">
        <f>I923*J923/60/M923</f>
        <v/>
      </c>
      <c r="P923" s="2">
        <f>K923/J923</f>
        <v/>
      </c>
      <c r="Q923" s="2">
        <f>N923*O923*P923</f>
        <v/>
      </c>
    </row>
    <row r="924">
      <c r="A924" t="inlineStr">
        <is>
          <t>2026-08-08</t>
        </is>
      </c>
      <c r="B924" t="inlineStr">
        <is>
          <t>주간</t>
        </is>
      </c>
      <c r="C924" t="inlineStr">
        <is>
          <t>P6</t>
        </is>
      </c>
      <c r="D924" t="inlineStr">
        <is>
          <t>포장</t>
        </is>
      </c>
      <c r="E924" t="inlineStr">
        <is>
          <t>PK-01</t>
        </is>
      </c>
      <c r="F924" t="n">
        <v>480</v>
      </c>
      <c r="G924" t="n">
        <v>12</v>
      </c>
      <c r="H924" t="inlineStr">
        <is>
          <t>라벨 교체</t>
        </is>
      </c>
      <c r="I924" t="n">
        <v>4.8</v>
      </c>
      <c r="J924" t="n">
        <v>5521</v>
      </c>
      <c r="K924" t="n">
        <v>5510</v>
      </c>
      <c r="L924" t="inlineStr">
        <is>
          <t>L-0720</t>
        </is>
      </c>
      <c r="M924">
        <f>F924-G924</f>
        <v/>
      </c>
      <c r="N924" s="2">
        <f>M924/F924</f>
        <v/>
      </c>
      <c r="O924" s="2">
        <f>I924*J924/60/M924</f>
        <v/>
      </c>
      <c r="P924" s="2">
        <f>K924/J924</f>
        <v/>
      </c>
      <c r="Q924" s="2">
        <f>N924*O924*P924</f>
        <v/>
      </c>
    </row>
    <row r="925">
      <c r="A925" t="inlineStr">
        <is>
          <t>2026-08-08</t>
        </is>
      </c>
      <c r="B925" t="inlineStr">
        <is>
          <t>주간</t>
        </is>
      </c>
      <c r="C925" t="inlineStr">
        <is>
          <t>P6</t>
        </is>
      </c>
      <c r="D925" t="inlineStr">
        <is>
          <t>포장</t>
        </is>
      </c>
      <c r="E925" t="inlineStr">
        <is>
          <t>PK-02</t>
        </is>
      </c>
      <c r="F925" t="n">
        <v>480</v>
      </c>
      <c r="G925" t="n">
        <v>14</v>
      </c>
      <c r="H925" t="inlineStr">
        <is>
          <t>라벨 교체</t>
        </is>
      </c>
      <c r="I925" t="n">
        <v>4.8</v>
      </c>
      <c r="J925" t="n">
        <v>5635</v>
      </c>
      <c r="K925" t="n">
        <v>5625</v>
      </c>
      <c r="L925" t="inlineStr">
        <is>
          <t>L-0720</t>
        </is>
      </c>
      <c r="M925">
        <f>F925-G925</f>
        <v/>
      </c>
      <c r="N925" s="2">
        <f>M925/F925</f>
        <v/>
      </c>
      <c r="O925" s="2">
        <f>I925*J925/60/M925</f>
        <v/>
      </c>
      <c r="P925" s="2">
        <f>K925/J925</f>
        <v/>
      </c>
      <c r="Q925" s="2">
        <f>N925*O925*P925</f>
        <v/>
      </c>
    </row>
    <row r="926">
      <c r="A926" t="inlineStr">
        <is>
          <t>2026-08-08</t>
        </is>
      </c>
      <c r="B926" t="inlineStr">
        <is>
          <t>야간</t>
        </is>
      </c>
      <c r="C926" t="inlineStr">
        <is>
          <t>P1</t>
        </is>
      </c>
      <c r="D926" t="inlineStr">
        <is>
          <t>원료혼합</t>
        </is>
      </c>
      <c r="E926" t="inlineStr">
        <is>
          <t>MX-01</t>
        </is>
      </c>
      <c r="F926" t="n">
        <v>480</v>
      </c>
      <c r="G926" t="n">
        <v>22</v>
      </c>
      <c r="H926" t="inlineStr">
        <is>
          <t>배합 확인</t>
        </is>
      </c>
      <c r="I926" t="n">
        <v>5</v>
      </c>
      <c r="J926" t="n">
        <v>5117</v>
      </c>
      <c r="K926" t="n">
        <v>5087</v>
      </c>
      <c r="L926" t="inlineStr">
        <is>
          <t>L-0720</t>
        </is>
      </c>
      <c r="M926">
        <f>F926-G926</f>
        <v/>
      </c>
      <c r="N926" s="2">
        <f>M926/F926</f>
        <v/>
      </c>
      <c r="O926" s="2">
        <f>I926*J926/60/M926</f>
        <v/>
      </c>
      <c r="P926" s="2">
        <f>K926/J926</f>
        <v/>
      </c>
      <c r="Q926" s="2">
        <f>N926*O926*P926</f>
        <v/>
      </c>
    </row>
    <row r="927">
      <c r="A927" t="inlineStr">
        <is>
          <t>2026-08-08</t>
        </is>
      </c>
      <c r="B927" t="inlineStr">
        <is>
          <t>야간</t>
        </is>
      </c>
      <c r="C927" t="inlineStr">
        <is>
          <t>P1</t>
        </is>
      </c>
      <c r="D927" t="inlineStr">
        <is>
          <t>원료혼합</t>
        </is>
      </c>
      <c r="E927" t="inlineStr">
        <is>
          <t>MX-02</t>
        </is>
      </c>
      <c r="F927" t="n">
        <v>480</v>
      </c>
      <c r="G927" t="n">
        <v>22</v>
      </c>
      <c r="H927" t="inlineStr">
        <is>
          <t>청소</t>
        </is>
      </c>
      <c r="I927" t="n">
        <v>5</v>
      </c>
      <c r="J927" t="n">
        <v>4906</v>
      </c>
      <c r="K927" t="n">
        <v>4871</v>
      </c>
      <c r="L927" t="inlineStr">
        <is>
          <t>L-0720</t>
        </is>
      </c>
      <c r="M927">
        <f>F927-G927</f>
        <v/>
      </c>
      <c r="N927" s="2">
        <f>M927/F927</f>
        <v/>
      </c>
      <c r="O927" s="2">
        <f>I927*J927/60/M927</f>
        <v/>
      </c>
      <c r="P927" s="2">
        <f>K927/J927</f>
        <v/>
      </c>
      <c r="Q927" s="2">
        <f>N927*O927*P927</f>
        <v/>
      </c>
    </row>
    <row r="928">
      <c r="A928" t="inlineStr">
        <is>
          <t>2026-08-08</t>
        </is>
      </c>
      <c r="B928" t="inlineStr">
        <is>
          <t>야간</t>
        </is>
      </c>
      <c r="C928" t="inlineStr">
        <is>
          <t>P2</t>
        </is>
      </c>
      <c r="D928" t="inlineStr">
        <is>
          <t>성형</t>
        </is>
      </c>
      <c r="E928" t="inlineStr">
        <is>
          <t>PR-01</t>
        </is>
      </c>
      <c r="F928" t="n">
        <v>480</v>
      </c>
      <c r="G928" t="n">
        <v>46</v>
      </c>
      <c r="H928" t="inlineStr">
        <is>
          <t>압력 이상</t>
        </is>
      </c>
      <c r="I928" t="n">
        <v>6</v>
      </c>
      <c r="J928" t="n">
        <v>3861</v>
      </c>
      <c r="K928" t="n">
        <v>3815</v>
      </c>
      <c r="L928" t="inlineStr">
        <is>
          <t>L-0720</t>
        </is>
      </c>
      <c r="M928">
        <f>F928-G928</f>
        <v/>
      </c>
      <c r="N928" s="2">
        <f>M928/F928</f>
        <v/>
      </c>
      <c r="O928" s="2">
        <f>I928*J928/60/M928</f>
        <v/>
      </c>
      <c r="P928" s="2">
        <f>K928/J928</f>
        <v/>
      </c>
      <c r="Q928" s="2">
        <f>N928*O928*P928</f>
        <v/>
      </c>
    </row>
    <row r="929">
      <c r="A929" t="inlineStr">
        <is>
          <t>2026-08-08</t>
        </is>
      </c>
      <c r="B929" t="inlineStr">
        <is>
          <t>야간</t>
        </is>
      </c>
      <c r="C929" t="inlineStr">
        <is>
          <t>P2</t>
        </is>
      </c>
      <c r="D929" t="inlineStr">
        <is>
          <t>성형</t>
        </is>
      </c>
      <c r="E929" t="inlineStr">
        <is>
          <t>PR-02</t>
        </is>
      </c>
      <c r="F929" t="n">
        <v>480</v>
      </c>
      <c r="G929" t="n">
        <v>24</v>
      </c>
      <c r="H929" t="inlineStr">
        <is>
          <t>금형 교체</t>
        </is>
      </c>
      <c r="I929" t="n">
        <v>6</v>
      </c>
      <c r="J929" t="n">
        <v>4218</v>
      </c>
      <c r="K929" t="n">
        <v>4169</v>
      </c>
      <c r="L929" t="inlineStr">
        <is>
          <t>L-0720</t>
        </is>
      </c>
      <c r="M929">
        <f>F929-G929</f>
        <v/>
      </c>
      <c r="N929" s="2">
        <f>M929/F929</f>
        <v/>
      </c>
      <c r="O929" s="2">
        <f>I929*J929/60/M929</f>
        <v/>
      </c>
      <c r="P929" s="2">
        <f>K929/J929</f>
        <v/>
      </c>
      <c r="Q929" s="2">
        <f>N929*O929*P929</f>
        <v/>
      </c>
    </row>
    <row r="930">
      <c r="A930" t="inlineStr">
        <is>
          <t>2026-08-08</t>
        </is>
      </c>
      <c r="B930" t="inlineStr">
        <is>
          <t>야간</t>
        </is>
      </c>
      <c r="C930" t="inlineStr">
        <is>
          <t>P3</t>
        </is>
      </c>
      <c r="D930" t="inlineStr">
        <is>
          <t>소결</t>
        </is>
      </c>
      <c r="E930" t="inlineStr">
        <is>
          <t>SF-01</t>
        </is>
      </c>
      <c r="F930" t="n">
        <v>480</v>
      </c>
      <c r="G930" t="n">
        <v>30</v>
      </c>
      <c r="H930" t="inlineStr">
        <is>
          <t>승온 대기</t>
        </is>
      </c>
      <c r="I930" t="n">
        <v>6.5</v>
      </c>
      <c r="J930" t="n">
        <v>3762</v>
      </c>
      <c r="K930" t="n">
        <v>3663</v>
      </c>
      <c r="L930" t="inlineStr">
        <is>
          <t>L-0720</t>
        </is>
      </c>
      <c r="M930">
        <f>F930-G930</f>
        <v/>
      </c>
      <c r="N930" s="2">
        <f>M930/F930</f>
        <v/>
      </c>
      <c r="O930" s="2">
        <f>I930*J930/60/M930</f>
        <v/>
      </c>
      <c r="P930" s="2">
        <f>K930/J930</f>
        <v/>
      </c>
      <c r="Q930" s="2">
        <f>N930*O930*P930</f>
        <v/>
      </c>
    </row>
    <row r="931">
      <c r="A931" t="inlineStr">
        <is>
          <t>2026-08-08</t>
        </is>
      </c>
      <c r="B931" t="inlineStr">
        <is>
          <t>야간</t>
        </is>
      </c>
      <c r="C931" t="inlineStr">
        <is>
          <t>P3</t>
        </is>
      </c>
      <c r="D931" t="inlineStr">
        <is>
          <t>소결</t>
        </is>
      </c>
      <c r="E931" t="inlineStr">
        <is>
          <t>SF-02</t>
        </is>
      </c>
      <c r="F931" t="n">
        <v>480</v>
      </c>
      <c r="G931" t="n">
        <v>54</v>
      </c>
      <c r="H931" t="inlineStr">
        <is>
          <t>재가열</t>
        </is>
      </c>
      <c r="I931" t="n">
        <v>6.5</v>
      </c>
      <c r="J931" t="n">
        <v>3589</v>
      </c>
      <c r="K931" t="n">
        <v>3470</v>
      </c>
      <c r="L931" t="inlineStr">
        <is>
          <t>L-0720</t>
        </is>
      </c>
      <c r="M931">
        <f>F931-G931</f>
        <v/>
      </c>
      <c r="N931" s="2">
        <f>M931/F931</f>
        <v/>
      </c>
      <c r="O931" s="2">
        <f>I931*J931/60/M931</f>
        <v/>
      </c>
      <c r="P931" s="2">
        <f>K931/J931</f>
        <v/>
      </c>
      <c r="Q931" s="2">
        <f>N931*O931*P931</f>
        <v/>
      </c>
    </row>
    <row r="932">
      <c r="A932" t="inlineStr">
        <is>
          <t>2026-08-08</t>
        </is>
      </c>
      <c r="B932" t="inlineStr">
        <is>
          <t>야간</t>
        </is>
      </c>
      <c r="C932" t="inlineStr">
        <is>
          <t>P4</t>
        </is>
      </c>
      <c r="D932" t="inlineStr">
        <is>
          <t>연삭</t>
        </is>
      </c>
      <c r="E932" t="inlineStr">
        <is>
          <t>GR-01</t>
        </is>
      </c>
      <c r="F932" t="n">
        <v>480</v>
      </c>
      <c r="G932" t="n">
        <v>95</v>
      </c>
      <c r="H932" t="inlineStr">
        <is>
          <t>공구 교체</t>
        </is>
      </c>
      <c r="I932" t="n">
        <v>6.2</v>
      </c>
      <c r="J932" t="n">
        <v>3333</v>
      </c>
      <c r="K932" t="n">
        <v>3292</v>
      </c>
      <c r="L932" t="inlineStr">
        <is>
          <t>L-0720</t>
        </is>
      </c>
      <c r="M932">
        <f>F932-G932</f>
        <v/>
      </c>
      <c r="N932" s="2">
        <f>M932/F932</f>
        <v/>
      </c>
      <c r="O932" s="2">
        <f>I932*J932/60/M932</f>
        <v/>
      </c>
      <c r="P932" s="2">
        <f>K932/J932</f>
        <v/>
      </c>
      <c r="Q932" s="2">
        <f>N932*O932*P932</f>
        <v/>
      </c>
    </row>
    <row r="933">
      <c r="A933" t="inlineStr">
        <is>
          <t>2026-08-08</t>
        </is>
      </c>
      <c r="B933" t="inlineStr">
        <is>
          <t>야간</t>
        </is>
      </c>
      <c r="C933" t="inlineStr">
        <is>
          <t>P4</t>
        </is>
      </c>
      <c r="D933" t="inlineStr">
        <is>
          <t>연삭</t>
        </is>
      </c>
      <c r="E933" t="inlineStr">
        <is>
          <t>GR-02</t>
        </is>
      </c>
      <c r="F933" t="n">
        <v>480</v>
      </c>
      <c r="G933" t="n">
        <v>43</v>
      </c>
      <c r="H933" t="inlineStr">
        <is>
          <t>공구 교체</t>
        </is>
      </c>
      <c r="I933" t="n">
        <v>6.2</v>
      </c>
      <c r="J933" t="n">
        <v>3770</v>
      </c>
      <c r="K933" t="n">
        <v>3728</v>
      </c>
      <c r="L933" t="inlineStr">
        <is>
          <t>L-0720</t>
        </is>
      </c>
      <c r="M933">
        <f>F933-G933</f>
        <v/>
      </c>
      <c r="N933" s="2">
        <f>M933/F933</f>
        <v/>
      </c>
      <c r="O933" s="2">
        <f>I933*J933/60/M933</f>
        <v/>
      </c>
      <c r="P933" s="2">
        <f>K933/J933</f>
        <v/>
      </c>
      <c r="Q933" s="2">
        <f>N933*O933*P933</f>
        <v/>
      </c>
    </row>
    <row r="934">
      <c r="A934" t="inlineStr">
        <is>
          <t>2026-08-08</t>
        </is>
      </c>
      <c r="B934" t="inlineStr">
        <is>
          <t>야간</t>
        </is>
      </c>
      <c r="C934" t="inlineStr">
        <is>
          <t>P5</t>
        </is>
      </c>
      <c r="D934" t="inlineStr">
        <is>
          <t>검사</t>
        </is>
      </c>
      <c r="E934" t="inlineStr">
        <is>
          <t>IN-01</t>
        </is>
      </c>
      <c r="F934" t="n">
        <v>480</v>
      </c>
      <c r="G934" t="n">
        <v>47</v>
      </c>
      <c r="H934" t="inlineStr">
        <is>
          <t>샘플 재검</t>
        </is>
      </c>
      <c r="I934" t="n">
        <v>5.5</v>
      </c>
      <c r="J934" t="n">
        <v>4436</v>
      </c>
      <c r="K934" t="n">
        <v>4420</v>
      </c>
      <c r="L934" t="inlineStr">
        <is>
          <t>L-0720</t>
        </is>
      </c>
      <c r="M934">
        <f>F934-G934</f>
        <v/>
      </c>
      <c r="N934" s="2">
        <f>M934/F934</f>
        <v/>
      </c>
      <c r="O934" s="2">
        <f>I934*J934/60/M934</f>
        <v/>
      </c>
      <c r="P934" s="2">
        <f>K934/J934</f>
        <v/>
      </c>
      <c r="Q934" s="2">
        <f>N934*O934*P934</f>
        <v/>
      </c>
    </row>
    <row r="935">
      <c r="A935" t="inlineStr">
        <is>
          <t>2026-08-08</t>
        </is>
      </c>
      <c r="B935" t="inlineStr">
        <is>
          <t>야간</t>
        </is>
      </c>
      <c r="C935" t="inlineStr">
        <is>
          <t>P5</t>
        </is>
      </c>
      <c r="D935" t="inlineStr">
        <is>
          <t>검사</t>
        </is>
      </c>
      <c r="E935" t="inlineStr">
        <is>
          <t>IN-02</t>
        </is>
      </c>
      <c r="F935" t="n">
        <v>480</v>
      </c>
      <c r="G935" t="n">
        <v>50</v>
      </c>
      <c r="H935" t="inlineStr">
        <is>
          <t>측정기 교정</t>
        </is>
      </c>
      <c r="I935" t="n">
        <v>5.5</v>
      </c>
      <c r="J935" t="n">
        <v>4327</v>
      </c>
      <c r="K935" t="n">
        <v>4311</v>
      </c>
      <c r="L935" t="inlineStr">
        <is>
          <t>L-0720</t>
        </is>
      </c>
      <c r="M935">
        <f>F935-G935</f>
        <v/>
      </c>
      <c r="N935" s="2">
        <f>M935/F935</f>
        <v/>
      </c>
      <c r="O935" s="2">
        <f>I935*J935/60/M935</f>
        <v/>
      </c>
      <c r="P935" s="2">
        <f>K935/J935</f>
        <v/>
      </c>
      <c r="Q935" s="2">
        <f>N935*O935*P935</f>
        <v/>
      </c>
    </row>
    <row r="936">
      <c r="A936" t="inlineStr">
        <is>
          <t>2026-08-08</t>
        </is>
      </c>
      <c r="B936" t="inlineStr">
        <is>
          <t>야간</t>
        </is>
      </c>
      <c r="C936" t="inlineStr">
        <is>
          <t>P6</t>
        </is>
      </c>
      <c r="D936" t="inlineStr">
        <is>
          <t>포장</t>
        </is>
      </c>
      <c r="E936" t="inlineStr">
        <is>
          <t>PK-01</t>
        </is>
      </c>
      <c r="F936" t="n">
        <v>480</v>
      </c>
      <c r="G936" t="n">
        <v>7</v>
      </c>
      <c r="H936" t="inlineStr">
        <is>
          <t>자재 대기</t>
        </is>
      </c>
      <c r="I936" t="n">
        <v>4.8</v>
      </c>
      <c r="J936" t="n">
        <v>5406</v>
      </c>
      <c r="K936" t="n">
        <v>5391</v>
      </c>
      <c r="L936" t="inlineStr">
        <is>
          <t>L-0720</t>
        </is>
      </c>
      <c r="M936">
        <f>F936-G936</f>
        <v/>
      </c>
      <c r="N936" s="2">
        <f>M936/F936</f>
        <v/>
      </c>
      <c r="O936" s="2">
        <f>I936*J936/60/M936</f>
        <v/>
      </c>
      <c r="P936" s="2">
        <f>K936/J936</f>
        <v/>
      </c>
      <c r="Q936" s="2">
        <f>N936*O936*P936</f>
        <v/>
      </c>
    </row>
    <row r="937">
      <c r="A937" t="inlineStr">
        <is>
          <t>2026-08-08</t>
        </is>
      </c>
      <c r="B937" t="inlineStr">
        <is>
          <t>야간</t>
        </is>
      </c>
      <c r="C937" t="inlineStr">
        <is>
          <t>P6</t>
        </is>
      </c>
      <c r="D937" t="inlineStr">
        <is>
          <t>포장</t>
        </is>
      </c>
      <c r="E937" t="inlineStr">
        <is>
          <t>PK-02</t>
        </is>
      </c>
      <c r="F937" t="n">
        <v>480</v>
      </c>
      <c r="G937" t="n">
        <v>19</v>
      </c>
      <c r="H937" t="inlineStr">
        <is>
          <t>자재 대기</t>
        </is>
      </c>
      <c r="I937" t="n">
        <v>4.8</v>
      </c>
      <c r="J937" t="n">
        <v>5475</v>
      </c>
      <c r="K937" t="n">
        <v>5461</v>
      </c>
      <c r="L937" t="inlineStr">
        <is>
          <t>L-0720</t>
        </is>
      </c>
      <c r="M937">
        <f>F937-G937</f>
        <v/>
      </c>
      <c r="N937" s="2">
        <f>M937/F937</f>
        <v/>
      </c>
      <c r="O937" s="2">
        <f>I937*J937/60/M937</f>
        <v/>
      </c>
      <c r="P937" s="2">
        <f>K937/J937</f>
        <v/>
      </c>
      <c r="Q937" s="2">
        <f>N937*O937*P937</f>
        <v/>
      </c>
    </row>
    <row r="938">
      <c r="A938" t="inlineStr">
        <is>
          <t>2026-08-09</t>
        </is>
      </c>
      <c r="B938" t="inlineStr">
        <is>
          <t>주간</t>
        </is>
      </c>
      <c r="C938" t="inlineStr">
        <is>
          <t>P1</t>
        </is>
      </c>
      <c r="D938" t="inlineStr">
        <is>
          <t>원료혼합</t>
        </is>
      </c>
      <c r="E938" t="inlineStr">
        <is>
          <t>MX-01</t>
        </is>
      </c>
      <c r="F938" t="n">
        <v>480</v>
      </c>
      <c r="G938" t="n">
        <v>7</v>
      </c>
      <c r="H938" t="inlineStr">
        <is>
          <t>배합 확인</t>
        </is>
      </c>
      <c r="I938" t="n">
        <v>5</v>
      </c>
      <c r="J938" t="n">
        <v>5227</v>
      </c>
      <c r="K938" t="n">
        <v>5195</v>
      </c>
      <c r="L938" t="inlineStr">
        <is>
          <t>L-0809</t>
        </is>
      </c>
      <c r="M938">
        <f>F938-G938</f>
        <v/>
      </c>
      <c r="N938" s="2">
        <f>M938/F938</f>
        <v/>
      </c>
      <c r="O938" s="2">
        <f>I938*J938/60/M938</f>
        <v/>
      </c>
      <c r="P938" s="2">
        <f>K938/J938</f>
        <v/>
      </c>
      <c r="Q938" s="2">
        <f>N938*O938*P938</f>
        <v/>
      </c>
    </row>
    <row r="939">
      <c r="A939" t="inlineStr">
        <is>
          <t>2026-08-09</t>
        </is>
      </c>
      <c r="B939" t="inlineStr">
        <is>
          <t>주간</t>
        </is>
      </c>
      <c r="C939" t="inlineStr">
        <is>
          <t>P1</t>
        </is>
      </c>
      <c r="D939" t="inlineStr">
        <is>
          <t>원료혼합</t>
        </is>
      </c>
      <c r="E939" t="inlineStr">
        <is>
          <t>MX-02</t>
        </is>
      </c>
      <c r="F939" t="n">
        <v>480</v>
      </c>
      <c r="G939" t="n">
        <v>38</v>
      </c>
      <c r="H939" t="inlineStr">
        <is>
          <t>청소</t>
        </is>
      </c>
      <c r="I939" t="n">
        <v>5</v>
      </c>
      <c r="J939" t="n">
        <v>4684</v>
      </c>
      <c r="K939" t="n">
        <v>4657</v>
      </c>
      <c r="L939" t="inlineStr">
        <is>
          <t>L-0809</t>
        </is>
      </c>
      <c r="M939">
        <f>F939-G939</f>
        <v/>
      </c>
      <c r="N939" s="2">
        <f>M939/F939</f>
        <v/>
      </c>
      <c r="O939" s="2">
        <f>I939*J939/60/M939</f>
        <v/>
      </c>
      <c r="P939" s="2">
        <f>K939/J939</f>
        <v/>
      </c>
      <c r="Q939" s="2">
        <f>N939*O939*P939</f>
        <v/>
      </c>
    </row>
    <row r="940">
      <c r="A940" t="inlineStr">
        <is>
          <t>2026-08-09</t>
        </is>
      </c>
      <c r="B940" t="inlineStr">
        <is>
          <t>주간</t>
        </is>
      </c>
      <c r="C940" t="inlineStr">
        <is>
          <t>P2</t>
        </is>
      </c>
      <c r="D940" t="inlineStr">
        <is>
          <t>성형</t>
        </is>
      </c>
      <c r="E940" t="inlineStr">
        <is>
          <t>PR-01</t>
        </is>
      </c>
      <c r="F940" t="n">
        <v>480</v>
      </c>
      <c r="G940" t="n">
        <v>31</v>
      </c>
      <c r="H940" t="inlineStr">
        <is>
          <t>압력 이상</t>
        </is>
      </c>
      <c r="I940" t="n">
        <v>6</v>
      </c>
      <c r="J940" t="n">
        <v>4055</v>
      </c>
      <c r="K940" t="n">
        <v>4013</v>
      </c>
      <c r="L940" t="inlineStr">
        <is>
          <t>L-0809</t>
        </is>
      </c>
      <c r="M940">
        <f>F940-G940</f>
        <v/>
      </c>
      <c r="N940" s="2">
        <f>M940/F940</f>
        <v/>
      </c>
      <c r="O940" s="2">
        <f>I940*J940/60/M940</f>
        <v/>
      </c>
      <c r="P940" s="2">
        <f>K940/J940</f>
        <v/>
      </c>
      <c r="Q940" s="2">
        <f>N940*O940*P940</f>
        <v/>
      </c>
    </row>
    <row r="941">
      <c r="A941" t="inlineStr">
        <is>
          <t>2026-08-09</t>
        </is>
      </c>
      <c r="B941" t="inlineStr">
        <is>
          <t>주간</t>
        </is>
      </c>
      <c r="C941" t="inlineStr">
        <is>
          <t>P2</t>
        </is>
      </c>
      <c r="D941" t="inlineStr">
        <is>
          <t>성형</t>
        </is>
      </c>
      <c r="E941" t="inlineStr">
        <is>
          <t>PR-02</t>
        </is>
      </c>
      <c r="F941" t="n">
        <v>480</v>
      </c>
      <c r="G941" t="n">
        <v>10</v>
      </c>
      <c r="H941" t="inlineStr">
        <is>
          <t>분말 공급 지연</t>
        </is>
      </c>
      <c r="I941" t="n">
        <v>6</v>
      </c>
      <c r="J941" t="n">
        <v>4405</v>
      </c>
      <c r="K941" t="n">
        <v>4356</v>
      </c>
      <c r="L941" t="inlineStr">
        <is>
          <t>L-0809</t>
        </is>
      </c>
      <c r="M941">
        <f>F941-G941</f>
        <v/>
      </c>
      <c r="N941" s="2">
        <f>M941/F941</f>
        <v/>
      </c>
      <c r="O941" s="2">
        <f>I941*J941/60/M941</f>
        <v/>
      </c>
      <c r="P941" s="2">
        <f>K941/J941</f>
        <v/>
      </c>
      <c r="Q941" s="2">
        <f>N941*O941*P941</f>
        <v/>
      </c>
    </row>
    <row r="942">
      <c r="A942" t="inlineStr">
        <is>
          <t>2026-08-09</t>
        </is>
      </c>
      <c r="B942" t="inlineStr">
        <is>
          <t>주간</t>
        </is>
      </c>
      <c r="C942" t="inlineStr">
        <is>
          <t>P3</t>
        </is>
      </c>
      <c r="D942" t="inlineStr">
        <is>
          <t>소결</t>
        </is>
      </c>
      <c r="E942" t="inlineStr">
        <is>
          <t>SF-01</t>
        </is>
      </c>
      <c r="F942" t="n">
        <v>480</v>
      </c>
      <c r="G942" t="n">
        <v>37</v>
      </c>
      <c r="H942" t="inlineStr">
        <is>
          <t>온도 이상 정지</t>
        </is>
      </c>
      <c r="I942" t="n">
        <v>6.5</v>
      </c>
      <c r="J942" t="n">
        <v>3778</v>
      </c>
      <c r="K942" t="n">
        <v>3686</v>
      </c>
      <c r="L942" t="inlineStr">
        <is>
          <t>L-0809</t>
        </is>
      </c>
      <c r="M942">
        <f>F942-G942</f>
        <v/>
      </c>
      <c r="N942" s="2">
        <f>M942/F942</f>
        <v/>
      </c>
      <c r="O942" s="2">
        <f>I942*J942/60/M942</f>
        <v/>
      </c>
      <c r="P942" s="2">
        <f>K942/J942</f>
        <v/>
      </c>
      <c r="Q942" s="2">
        <f>N942*O942*P942</f>
        <v/>
      </c>
    </row>
    <row r="943">
      <c r="A943" t="inlineStr">
        <is>
          <t>2026-08-09</t>
        </is>
      </c>
      <c r="B943" t="inlineStr">
        <is>
          <t>주간</t>
        </is>
      </c>
      <c r="C943" t="inlineStr">
        <is>
          <t>P3</t>
        </is>
      </c>
      <c r="D943" t="inlineStr">
        <is>
          <t>소결</t>
        </is>
      </c>
      <c r="E943" t="inlineStr">
        <is>
          <t>SF-02</t>
        </is>
      </c>
      <c r="F943" t="n">
        <v>480</v>
      </c>
      <c r="G943" t="n">
        <v>58</v>
      </c>
      <c r="H943" t="inlineStr">
        <is>
          <t>장입 대기</t>
        </is>
      </c>
      <c r="I943" t="n">
        <v>6.5</v>
      </c>
      <c r="J943" t="n">
        <v>3647</v>
      </c>
      <c r="K943" t="n">
        <v>3532</v>
      </c>
      <c r="L943" t="inlineStr">
        <is>
          <t>L-0809</t>
        </is>
      </c>
      <c r="M943">
        <f>F943-G943</f>
        <v/>
      </c>
      <c r="N943" s="2">
        <f>M943/F943</f>
        <v/>
      </c>
      <c r="O943" s="2">
        <f>I943*J943/60/M943</f>
        <v/>
      </c>
      <c r="P943" s="2">
        <f>K943/J943</f>
        <v/>
      </c>
      <c r="Q943" s="2">
        <f>N943*O943*P943</f>
        <v/>
      </c>
    </row>
    <row r="944">
      <c r="A944" t="inlineStr">
        <is>
          <t>2026-08-09</t>
        </is>
      </c>
      <c r="B944" t="inlineStr">
        <is>
          <t>주간</t>
        </is>
      </c>
      <c r="C944" t="inlineStr">
        <is>
          <t>P4</t>
        </is>
      </c>
      <c r="D944" t="inlineStr">
        <is>
          <t>연삭</t>
        </is>
      </c>
      <c r="E944" t="inlineStr">
        <is>
          <t>GR-01</t>
        </is>
      </c>
      <c r="F944" t="n">
        <v>480</v>
      </c>
      <c r="G944" t="n">
        <v>72</v>
      </c>
      <c r="H944" t="inlineStr">
        <is>
          <t>공구 교체</t>
        </is>
      </c>
      <c r="I944" t="n">
        <v>6.2</v>
      </c>
      <c r="J944" t="n">
        <v>3660</v>
      </c>
      <c r="K944" t="n">
        <v>3622</v>
      </c>
      <c r="L944" t="inlineStr">
        <is>
          <t>L-0809</t>
        </is>
      </c>
      <c r="M944">
        <f>F944-G944</f>
        <v/>
      </c>
      <c r="N944" s="2">
        <f>M944/F944</f>
        <v/>
      </c>
      <c r="O944" s="2">
        <f>I944*J944/60/M944</f>
        <v/>
      </c>
      <c r="P944" s="2">
        <f>K944/J944</f>
        <v/>
      </c>
      <c r="Q944" s="2">
        <f>N944*O944*P944</f>
        <v/>
      </c>
    </row>
    <row r="945">
      <c r="A945" t="inlineStr">
        <is>
          <t>2026-08-09</t>
        </is>
      </c>
      <c r="B945" t="inlineStr">
        <is>
          <t>주간</t>
        </is>
      </c>
      <c r="C945" t="inlineStr">
        <is>
          <t>P4</t>
        </is>
      </c>
      <c r="D945" t="inlineStr">
        <is>
          <t>연삭</t>
        </is>
      </c>
      <c r="E945" t="inlineStr">
        <is>
          <t>GR-02</t>
        </is>
      </c>
      <c r="F945" t="n">
        <v>480</v>
      </c>
      <c r="G945" t="n">
        <v>32</v>
      </c>
      <c r="H945" t="inlineStr">
        <is>
          <t>드레싱</t>
        </is>
      </c>
      <c r="I945" t="n">
        <v>6.2</v>
      </c>
      <c r="J945" t="n">
        <v>4041</v>
      </c>
      <c r="K945" t="n">
        <v>3994</v>
      </c>
      <c r="L945" t="inlineStr">
        <is>
          <t>L-0809</t>
        </is>
      </c>
      <c r="M945">
        <f>F945-G945</f>
        <v/>
      </c>
      <c r="N945" s="2">
        <f>M945/F945</f>
        <v/>
      </c>
      <c r="O945" s="2">
        <f>I945*J945/60/M945</f>
        <v/>
      </c>
      <c r="P945" s="2">
        <f>K945/J945</f>
        <v/>
      </c>
      <c r="Q945" s="2">
        <f>N945*O945*P945</f>
        <v/>
      </c>
    </row>
    <row r="946">
      <c r="A946" t="inlineStr">
        <is>
          <t>2026-08-09</t>
        </is>
      </c>
      <c r="B946" t="inlineStr">
        <is>
          <t>주간</t>
        </is>
      </c>
      <c r="C946" t="inlineStr">
        <is>
          <t>P5</t>
        </is>
      </c>
      <c r="D946" t="inlineStr">
        <is>
          <t>검사</t>
        </is>
      </c>
      <c r="E946" t="inlineStr">
        <is>
          <t>IN-01</t>
        </is>
      </c>
      <c r="F946" t="n">
        <v>480</v>
      </c>
      <c r="G946" t="n">
        <v>30</v>
      </c>
      <c r="H946" t="inlineStr">
        <is>
          <t>샘플 재검</t>
        </is>
      </c>
      <c r="I946" t="n">
        <v>5.5</v>
      </c>
      <c r="J946" t="n">
        <v>4277</v>
      </c>
      <c r="K946" t="n">
        <v>4263</v>
      </c>
      <c r="L946" t="inlineStr">
        <is>
          <t>L-0809</t>
        </is>
      </c>
      <c r="M946">
        <f>F946-G946</f>
        <v/>
      </c>
      <c r="N946" s="2">
        <f>M946/F946</f>
        <v/>
      </c>
      <c r="O946" s="2">
        <f>I946*J946/60/M946</f>
        <v/>
      </c>
      <c r="P946" s="2">
        <f>K946/J946</f>
        <v/>
      </c>
      <c r="Q946" s="2">
        <f>N946*O946*P946</f>
        <v/>
      </c>
    </row>
    <row r="947">
      <c r="A947" t="inlineStr">
        <is>
          <t>2026-08-09</t>
        </is>
      </c>
      <c r="B947" t="inlineStr">
        <is>
          <t>주간</t>
        </is>
      </c>
      <c r="C947" t="inlineStr">
        <is>
          <t>P5</t>
        </is>
      </c>
      <c r="D947" t="inlineStr">
        <is>
          <t>검사</t>
        </is>
      </c>
      <c r="E947" t="inlineStr">
        <is>
          <t>IN-02</t>
        </is>
      </c>
      <c r="F947" t="n">
        <v>480</v>
      </c>
      <c r="G947" t="n">
        <v>3</v>
      </c>
      <c r="H947" t="inlineStr">
        <is>
          <t>샘플 재검</t>
        </is>
      </c>
      <c r="I947" t="n">
        <v>5.5</v>
      </c>
      <c r="J947" t="n">
        <v>4751</v>
      </c>
      <c r="K947" t="n">
        <v>4736</v>
      </c>
      <c r="L947" t="inlineStr">
        <is>
          <t>L-0809</t>
        </is>
      </c>
      <c r="M947">
        <f>F947-G947</f>
        <v/>
      </c>
      <c r="N947" s="2">
        <f>M947/F947</f>
        <v/>
      </c>
      <c r="O947" s="2">
        <f>I947*J947/60/M947</f>
        <v/>
      </c>
      <c r="P947" s="2">
        <f>K947/J947</f>
        <v/>
      </c>
      <c r="Q947" s="2">
        <f>N947*O947*P947</f>
        <v/>
      </c>
    </row>
    <row r="948">
      <c r="A948" t="inlineStr">
        <is>
          <t>2026-08-09</t>
        </is>
      </c>
      <c r="B948" t="inlineStr">
        <is>
          <t>주간</t>
        </is>
      </c>
      <c r="C948" t="inlineStr">
        <is>
          <t>P6</t>
        </is>
      </c>
      <c r="D948" t="inlineStr">
        <is>
          <t>포장</t>
        </is>
      </c>
      <c r="E948" t="inlineStr">
        <is>
          <t>PK-01</t>
        </is>
      </c>
      <c r="F948" t="n">
        <v>480</v>
      </c>
      <c r="G948" t="n">
        <v>63</v>
      </c>
      <c r="H948" t="inlineStr">
        <is>
          <t>라벨 교체</t>
        </is>
      </c>
      <c r="I948" t="n">
        <v>4.8</v>
      </c>
      <c r="J948" t="n">
        <v>4813</v>
      </c>
      <c r="K948" t="n">
        <v>4804</v>
      </c>
      <c r="L948" t="inlineStr">
        <is>
          <t>L-0809</t>
        </is>
      </c>
      <c r="M948">
        <f>F948-G948</f>
        <v/>
      </c>
      <c r="N948" s="2">
        <f>M948/F948</f>
        <v/>
      </c>
      <c r="O948" s="2">
        <f>I948*J948/60/M948</f>
        <v/>
      </c>
      <c r="P948" s="2">
        <f>K948/J948</f>
        <v/>
      </c>
      <c r="Q948" s="2">
        <f>N948*O948*P948</f>
        <v/>
      </c>
    </row>
    <row r="949">
      <c r="A949" t="inlineStr">
        <is>
          <t>2026-08-09</t>
        </is>
      </c>
      <c r="B949" t="inlineStr">
        <is>
          <t>주간</t>
        </is>
      </c>
      <c r="C949" t="inlineStr">
        <is>
          <t>P6</t>
        </is>
      </c>
      <c r="D949" t="inlineStr">
        <is>
          <t>포장</t>
        </is>
      </c>
      <c r="E949" t="inlineStr">
        <is>
          <t>PK-02</t>
        </is>
      </c>
      <c r="F949" t="n">
        <v>480</v>
      </c>
      <c r="G949" t="n">
        <v>14</v>
      </c>
      <c r="H949" t="inlineStr">
        <is>
          <t>자재 대기</t>
        </is>
      </c>
      <c r="I949" t="n">
        <v>4.8</v>
      </c>
      <c r="J949" t="n">
        <v>5225</v>
      </c>
      <c r="K949" t="n">
        <v>5215</v>
      </c>
      <c r="L949" t="inlineStr">
        <is>
          <t>L-0809</t>
        </is>
      </c>
      <c r="M949">
        <f>F949-G949</f>
        <v/>
      </c>
      <c r="N949" s="2">
        <f>M949/F949</f>
        <v/>
      </c>
      <c r="O949" s="2">
        <f>I949*J949/60/M949</f>
        <v/>
      </c>
      <c r="P949" s="2">
        <f>K949/J949</f>
        <v/>
      </c>
      <c r="Q949" s="2">
        <f>N949*O949*P949</f>
        <v/>
      </c>
    </row>
    <row r="950">
      <c r="A950" t="inlineStr">
        <is>
          <t>2026-08-09</t>
        </is>
      </c>
      <c r="B950" t="inlineStr">
        <is>
          <t>야간</t>
        </is>
      </c>
      <c r="C950" t="inlineStr">
        <is>
          <t>P1</t>
        </is>
      </c>
      <c r="D950" t="inlineStr">
        <is>
          <t>원료혼합</t>
        </is>
      </c>
      <c r="E950" t="inlineStr">
        <is>
          <t>MX-01</t>
        </is>
      </c>
      <c r="F950" t="n">
        <v>480</v>
      </c>
      <c r="G950" t="n">
        <v>35</v>
      </c>
      <c r="H950" t="inlineStr">
        <is>
          <t>원료 대기</t>
        </is>
      </c>
      <c r="I950" t="n">
        <v>5</v>
      </c>
      <c r="J950" t="n">
        <v>4957</v>
      </c>
      <c r="K950" t="n">
        <v>4920</v>
      </c>
      <c r="L950" t="inlineStr">
        <is>
          <t>L-0809</t>
        </is>
      </c>
      <c r="M950">
        <f>F950-G950</f>
        <v/>
      </c>
      <c r="N950" s="2">
        <f>M950/F950</f>
        <v/>
      </c>
      <c r="O950" s="2">
        <f>I950*J950/60/M950</f>
        <v/>
      </c>
      <c r="P950" s="2">
        <f>K950/J950</f>
        <v/>
      </c>
      <c r="Q950" s="2">
        <f>N950*O950*P950</f>
        <v/>
      </c>
    </row>
    <row r="951">
      <c r="A951" t="inlineStr">
        <is>
          <t>2026-08-09</t>
        </is>
      </c>
      <c r="B951" t="inlineStr">
        <is>
          <t>야간</t>
        </is>
      </c>
      <c r="C951" t="inlineStr">
        <is>
          <t>P1</t>
        </is>
      </c>
      <c r="D951" t="inlineStr">
        <is>
          <t>원료혼합</t>
        </is>
      </c>
      <c r="E951" t="inlineStr">
        <is>
          <t>MX-02</t>
        </is>
      </c>
      <c r="F951" t="n">
        <v>480</v>
      </c>
      <c r="G951" t="n">
        <v>6</v>
      </c>
      <c r="H951" t="inlineStr">
        <is>
          <t>원료 대기</t>
        </is>
      </c>
      <c r="I951" t="n">
        <v>5</v>
      </c>
      <c r="J951" t="n">
        <v>4989</v>
      </c>
      <c r="K951" t="n">
        <v>4951</v>
      </c>
      <c r="L951" t="inlineStr">
        <is>
          <t>L-0809</t>
        </is>
      </c>
      <c r="M951">
        <f>F951-G951</f>
        <v/>
      </c>
      <c r="N951" s="2">
        <f>M951/F951</f>
        <v/>
      </c>
      <c r="O951" s="2">
        <f>I951*J951/60/M951</f>
        <v/>
      </c>
      <c r="P951" s="2">
        <f>K951/J951</f>
        <v/>
      </c>
      <c r="Q951" s="2">
        <f>N951*O951*P951</f>
        <v/>
      </c>
    </row>
    <row r="952">
      <c r="A952" t="inlineStr">
        <is>
          <t>2026-08-09</t>
        </is>
      </c>
      <c r="B952" t="inlineStr">
        <is>
          <t>야간</t>
        </is>
      </c>
      <c r="C952" t="inlineStr">
        <is>
          <t>P2</t>
        </is>
      </c>
      <c r="D952" t="inlineStr">
        <is>
          <t>성형</t>
        </is>
      </c>
      <c r="E952" t="inlineStr">
        <is>
          <t>PR-01</t>
        </is>
      </c>
      <c r="F952" t="n">
        <v>480</v>
      </c>
      <c r="G952" t="n">
        <v>29</v>
      </c>
      <c r="H952" t="inlineStr">
        <is>
          <t>분말 공급 지연</t>
        </is>
      </c>
      <c r="I952" t="n">
        <v>6</v>
      </c>
      <c r="J952" t="n">
        <v>4255</v>
      </c>
      <c r="K952" t="n">
        <v>4213</v>
      </c>
      <c r="L952" t="inlineStr">
        <is>
          <t>L-0809</t>
        </is>
      </c>
      <c r="M952">
        <f>F952-G952</f>
        <v/>
      </c>
      <c r="N952" s="2">
        <f>M952/F952</f>
        <v/>
      </c>
      <c r="O952" s="2">
        <f>I952*J952/60/M952</f>
        <v/>
      </c>
      <c r="P952" s="2">
        <f>K952/J952</f>
        <v/>
      </c>
      <c r="Q952" s="2">
        <f>N952*O952*P952</f>
        <v/>
      </c>
    </row>
    <row r="953">
      <c r="A953" t="inlineStr">
        <is>
          <t>2026-08-09</t>
        </is>
      </c>
      <c r="B953" t="inlineStr">
        <is>
          <t>야간</t>
        </is>
      </c>
      <c r="C953" t="inlineStr">
        <is>
          <t>P2</t>
        </is>
      </c>
      <c r="D953" t="inlineStr">
        <is>
          <t>성형</t>
        </is>
      </c>
      <c r="E953" t="inlineStr">
        <is>
          <t>PR-02</t>
        </is>
      </c>
      <c r="F953" t="n">
        <v>480</v>
      </c>
      <c r="G953" t="n">
        <v>10</v>
      </c>
      <c r="H953" t="inlineStr">
        <is>
          <t>압력 이상</t>
        </is>
      </c>
      <c r="I953" t="n">
        <v>6</v>
      </c>
      <c r="J953" t="n">
        <v>4411</v>
      </c>
      <c r="K953" t="n">
        <v>4360</v>
      </c>
      <c r="L953" t="inlineStr">
        <is>
          <t>L-0809</t>
        </is>
      </c>
      <c r="M953">
        <f>F953-G953</f>
        <v/>
      </c>
      <c r="N953" s="2">
        <f>M953/F953</f>
        <v/>
      </c>
      <c r="O953" s="2">
        <f>I953*J953/60/M953</f>
        <v/>
      </c>
      <c r="P953" s="2">
        <f>K953/J953</f>
        <v/>
      </c>
      <c r="Q953" s="2">
        <f>N953*O953*P953</f>
        <v/>
      </c>
    </row>
    <row r="954">
      <c r="A954" t="inlineStr">
        <is>
          <t>2026-08-09</t>
        </is>
      </c>
      <c r="B954" t="inlineStr">
        <is>
          <t>야간</t>
        </is>
      </c>
      <c r="C954" t="inlineStr">
        <is>
          <t>P3</t>
        </is>
      </c>
      <c r="D954" t="inlineStr">
        <is>
          <t>소결</t>
        </is>
      </c>
      <c r="E954" t="inlineStr">
        <is>
          <t>SF-01</t>
        </is>
      </c>
      <c r="F954" t="n">
        <v>480</v>
      </c>
      <c r="G954" t="n">
        <v>48</v>
      </c>
      <c r="H954" t="inlineStr">
        <is>
          <t>장입 대기</t>
        </is>
      </c>
      <c r="I954" t="n">
        <v>6.5</v>
      </c>
      <c r="J954" t="n">
        <v>3818</v>
      </c>
      <c r="K954" t="n">
        <v>3724</v>
      </c>
      <c r="L954" t="inlineStr">
        <is>
          <t>L-0809</t>
        </is>
      </c>
      <c r="M954">
        <f>F954-G954</f>
        <v/>
      </c>
      <c r="N954" s="2">
        <f>M954/F954</f>
        <v/>
      </c>
      <c r="O954" s="2">
        <f>I954*J954/60/M954</f>
        <v/>
      </c>
      <c r="P954" s="2">
        <f>K954/J954</f>
        <v/>
      </c>
      <c r="Q954" s="2">
        <f>N954*O954*P954</f>
        <v/>
      </c>
    </row>
    <row r="955">
      <c r="A955" t="inlineStr">
        <is>
          <t>2026-08-09</t>
        </is>
      </c>
      <c r="B955" t="inlineStr">
        <is>
          <t>야간</t>
        </is>
      </c>
      <c r="C955" t="inlineStr">
        <is>
          <t>P3</t>
        </is>
      </c>
      <c r="D955" t="inlineStr">
        <is>
          <t>소결</t>
        </is>
      </c>
      <c r="E955" t="inlineStr">
        <is>
          <t>SF-02</t>
        </is>
      </c>
      <c r="F955" t="n">
        <v>480</v>
      </c>
      <c r="G955" t="n">
        <v>42</v>
      </c>
      <c r="H955" t="inlineStr">
        <is>
          <t>승온 대기</t>
        </is>
      </c>
      <c r="I955" t="n">
        <v>6.5</v>
      </c>
      <c r="J955" t="n">
        <v>3740</v>
      </c>
      <c r="K955" t="n">
        <v>3585</v>
      </c>
      <c r="L955" t="inlineStr">
        <is>
          <t>L-0809</t>
        </is>
      </c>
      <c r="M955">
        <f>F955-G955</f>
        <v/>
      </c>
      <c r="N955" s="2">
        <f>M955/F955</f>
        <v/>
      </c>
      <c r="O955" s="2">
        <f>I955*J955/60/M955</f>
        <v/>
      </c>
      <c r="P955" s="2">
        <f>K955/J955</f>
        <v/>
      </c>
      <c r="Q955" s="2">
        <f>N955*O955*P955</f>
        <v/>
      </c>
    </row>
    <row r="956">
      <c r="A956" t="inlineStr">
        <is>
          <t>2026-08-09</t>
        </is>
      </c>
      <c r="B956" t="inlineStr">
        <is>
          <t>야간</t>
        </is>
      </c>
      <c r="C956" t="inlineStr">
        <is>
          <t>P4</t>
        </is>
      </c>
      <c r="D956" t="inlineStr">
        <is>
          <t>연삭</t>
        </is>
      </c>
      <c r="E956" t="inlineStr">
        <is>
          <t>GR-01</t>
        </is>
      </c>
      <c r="F956" t="n">
        <v>480</v>
      </c>
      <c r="G956" t="n">
        <v>55</v>
      </c>
      <c r="H956" t="inlineStr">
        <is>
          <t>드레싱</t>
        </is>
      </c>
      <c r="I956" t="n">
        <v>6.2</v>
      </c>
      <c r="J956" t="n">
        <v>3564</v>
      </c>
      <c r="K956" t="n">
        <v>3534</v>
      </c>
      <c r="L956" t="inlineStr">
        <is>
          <t>L-0809</t>
        </is>
      </c>
      <c r="M956">
        <f>F956-G956</f>
        <v/>
      </c>
      <c r="N956" s="2">
        <f>M956/F956</f>
        <v/>
      </c>
      <c r="O956" s="2">
        <f>I956*J956/60/M956</f>
        <v/>
      </c>
      <c r="P956" s="2">
        <f>K956/J956</f>
        <v/>
      </c>
      <c r="Q956" s="2">
        <f>N956*O956*P956</f>
        <v/>
      </c>
    </row>
    <row r="957">
      <c r="A957" t="inlineStr">
        <is>
          <t>2026-08-09</t>
        </is>
      </c>
      <c r="B957" t="inlineStr">
        <is>
          <t>야간</t>
        </is>
      </c>
      <c r="C957" t="inlineStr">
        <is>
          <t>P4</t>
        </is>
      </c>
      <c r="D957" t="inlineStr">
        <is>
          <t>연삭</t>
        </is>
      </c>
      <c r="E957" t="inlineStr">
        <is>
          <t>GR-02</t>
        </is>
      </c>
      <c r="F957" t="n">
        <v>480</v>
      </c>
      <c r="G957" t="n">
        <v>37</v>
      </c>
      <c r="H957" t="inlineStr">
        <is>
          <t>드레싱</t>
        </is>
      </c>
      <c r="I957" t="n">
        <v>6.2</v>
      </c>
      <c r="J957" t="n">
        <v>4041</v>
      </c>
      <c r="K957" t="n">
        <v>4000</v>
      </c>
      <c r="L957" t="inlineStr">
        <is>
          <t>L-0809</t>
        </is>
      </c>
      <c r="M957">
        <f>F957-G957</f>
        <v/>
      </c>
      <c r="N957" s="2">
        <f>M957/F957</f>
        <v/>
      </c>
      <c r="O957" s="2">
        <f>I957*J957/60/M957</f>
        <v/>
      </c>
      <c r="P957" s="2">
        <f>K957/J957</f>
        <v/>
      </c>
      <c r="Q957" s="2">
        <f>N957*O957*P957</f>
        <v/>
      </c>
    </row>
    <row r="958">
      <c r="A958" t="inlineStr">
        <is>
          <t>2026-08-09</t>
        </is>
      </c>
      <c r="B958" t="inlineStr">
        <is>
          <t>야간</t>
        </is>
      </c>
      <c r="C958" t="inlineStr">
        <is>
          <t>P5</t>
        </is>
      </c>
      <c r="D958" t="inlineStr">
        <is>
          <t>검사</t>
        </is>
      </c>
      <c r="E958" t="inlineStr">
        <is>
          <t>IN-01</t>
        </is>
      </c>
      <c r="F958" t="n">
        <v>480</v>
      </c>
      <c r="G958" t="n">
        <v>7</v>
      </c>
      <c r="H958" t="inlineStr">
        <is>
          <t>샘플 재검</t>
        </is>
      </c>
      <c r="I958" t="n">
        <v>5.5</v>
      </c>
      <c r="J958" t="n">
        <v>4631</v>
      </c>
      <c r="K958" t="n">
        <v>4612</v>
      </c>
      <c r="L958" t="inlineStr">
        <is>
          <t>L-0809</t>
        </is>
      </c>
      <c r="M958">
        <f>F958-G958</f>
        <v/>
      </c>
      <c r="N958" s="2">
        <f>M958/F958</f>
        <v/>
      </c>
      <c r="O958" s="2">
        <f>I958*J958/60/M958</f>
        <v/>
      </c>
      <c r="P958" s="2">
        <f>K958/J958</f>
        <v/>
      </c>
      <c r="Q958" s="2">
        <f>N958*O958*P958</f>
        <v/>
      </c>
    </row>
    <row r="959">
      <c r="A959" t="inlineStr">
        <is>
          <t>2026-08-09</t>
        </is>
      </c>
      <c r="B959" t="inlineStr">
        <is>
          <t>야간</t>
        </is>
      </c>
      <c r="C959" t="inlineStr">
        <is>
          <t>P5</t>
        </is>
      </c>
      <c r="D959" t="inlineStr">
        <is>
          <t>검사</t>
        </is>
      </c>
      <c r="E959" t="inlineStr">
        <is>
          <t>IN-02</t>
        </is>
      </c>
      <c r="F959" t="n">
        <v>480</v>
      </c>
      <c r="G959" t="n">
        <v>5</v>
      </c>
      <c r="H959" t="inlineStr">
        <is>
          <t>샘플 재검</t>
        </is>
      </c>
      <c r="I959" t="n">
        <v>5.5</v>
      </c>
      <c r="J959" t="n">
        <v>4910</v>
      </c>
      <c r="K959" t="n">
        <v>4891</v>
      </c>
      <c r="L959" t="inlineStr">
        <is>
          <t>L-0809</t>
        </is>
      </c>
      <c r="M959">
        <f>F959-G959</f>
        <v/>
      </c>
      <c r="N959" s="2">
        <f>M959/F959</f>
        <v/>
      </c>
      <c r="O959" s="2">
        <f>I959*J959/60/M959</f>
        <v/>
      </c>
      <c r="P959" s="2">
        <f>K959/J959</f>
        <v/>
      </c>
      <c r="Q959" s="2">
        <f>N959*O959*P959</f>
        <v/>
      </c>
    </row>
    <row r="960">
      <c r="A960" t="inlineStr">
        <is>
          <t>2026-08-09</t>
        </is>
      </c>
      <c r="B960" t="inlineStr">
        <is>
          <t>야간</t>
        </is>
      </c>
      <c r="C960" t="inlineStr">
        <is>
          <t>P6</t>
        </is>
      </c>
      <c r="D960" t="inlineStr">
        <is>
          <t>포장</t>
        </is>
      </c>
      <c r="E960" t="inlineStr">
        <is>
          <t>PK-01</t>
        </is>
      </c>
      <c r="F960" t="n">
        <v>480</v>
      </c>
      <c r="G960" t="n">
        <v>53</v>
      </c>
      <c r="H960" t="inlineStr">
        <is>
          <t>자재 대기</t>
        </is>
      </c>
      <c r="I960" t="n">
        <v>4.8</v>
      </c>
      <c r="J960" t="n">
        <v>5016</v>
      </c>
      <c r="K960" t="n">
        <v>5001</v>
      </c>
      <c r="L960" t="inlineStr">
        <is>
          <t>L-0809</t>
        </is>
      </c>
      <c r="M960">
        <f>F960-G960</f>
        <v/>
      </c>
      <c r="N960" s="2">
        <f>M960/F960</f>
        <v/>
      </c>
      <c r="O960" s="2">
        <f>I960*J960/60/M960</f>
        <v/>
      </c>
      <c r="P960" s="2">
        <f>K960/J960</f>
        <v/>
      </c>
      <c r="Q960" s="2">
        <f>N960*O960*P960</f>
        <v/>
      </c>
    </row>
    <row r="961">
      <c r="A961" t="inlineStr">
        <is>
          <t>2026-08-09</t>
        </is>
      </c>
      <c r="B961" t="inlineStr">
        <is>
          <t>야간</t>
        </is>
      </c>
      <c r="C961" t="inlineStr">
        <is>
          <t>P6</t>
        </is>
      </c>
      <c r="D961" t="inlineStr">
        <is>
          <t>포장</t>
        </is>
      </c>
      <c r="E961" t="inlineStr">
        <is>
          <t>PK-02</t>
        </is>
      </c>
      <c r="F961" t="n">
        <v>480</v>
      </c>
      <c r="G961" t="n">
        <v>11</v>
      </c>
      <c r="H961" t="inlineStr">
        <is>
          <t>자재 대기</t>
        </is>
      </c>
      <c r="I961" t="n">
        <v>4.8</v>
      </c>
      <c r="J961" t="n">
        <v>5508</v>
      </c>
      <c r="K961" t="n">
        <v>5490</v>
      </c>
      <c r="L961" t="inlineStr">
        <is>
          <t>L-0809</t>
        </is>
      </c>
      <c r="M961">
        <f>F961-G961</f>
        <v/>
      </c>
      <c r="N961" s="2">
        <f>M961/F961</f>
        <v/>
      </c>
      <c r="O961" s="2">
        <f>I961*J961/60/M961</f>
        <v/>
      </c>
      <c r="P961" s="2">
        <f>K961/J961</f>
        <v/>
      </c>
      <c r="Q961" s="2">
        <f>N961*O961*P961</f>
        <v/>
      </c>
    </row>
    <row r="962">
      <c r="A962" t="inlineStr">
        <is>
          <t>2026-08-10</t>
        </is>
      </c>
      <c r="B962" t="inlineStr">
        <is>
          <t>주간</t>
        </is>
      </c>
      <c r="C962" t="inlineStr">
        <is>
          <t>P1</t>
        </is>
      </c>
      <c r="D962" t="inlineStr">
        <is>
          <t>원료혼합</t>
        </is>
      </c>
      <c r="E962" t="inlineStr">
        <is>
          <t>MX-01</t>
        </is>
      </c>
      <c r="F962" t="n">
        <v>480</v>
      </c>
      <c r="G962" t="n">
        <v>12</v>
      </c>
      <c r="H962" t="inlineStr">
        <is>
          <t>배합 확인</t>
        </is>
      </c>
      <c r="I962" t="n">
        <v>5</v>
      </c>
      <c r="J962" t="n">
        <v>5140</v>
      </c>
      <c r="K962" t="n">
        <v>5106</v>
      </c>
      <c r="L962" t="inlineStr">
        <is>
          <t>L-0809</t>
        </is>
      </c>
      <c r="M962">
        <f>F962-G962</f>
        <v/>
      </c>
      <c r="N962" s="2">
        <f>M962/F962</f>
        <v/>
      </c>
      <c r="O962" s="2">
        <f>I962*J962/60/M962</f>
        <v/>
      </c>
      <c r="P962" s="2">
        <f>K962/J962</f>
        <v/>
      </c>
      <c r="Q962" s="2">
        <f>N962*O962*P962</f>
        <v/>
      </c>
    </row>
    <row r="963">
      <c r="A963" t="inlineStr">
        <is>
          <t>2026-08-10</t>
        </is>
      </c>
      <c r="B963" t="inlineStr">
        <is>
          <t>주간</t>
        </is>
      </c>
      <c r="C963" t="inlineStr">
        <is>
          <t>P1</t>
        </is>
      </c>
      <c r="D963" t="inlineStr">
        <is>
          <t>원료혼합</t>
        </is>
      </c>
      <c r="E963" t="inlineStr">
        <is>
          <t>MX-02</t>
        </is>
      </c>
      <c r="F963" t="n">
        <v>480</v>
      </c>
      <c r="G963" t="n">
        <v>6</v>
      </c>
      <c r="H963" t="inlineStr">
        <is>
          <t>배합 확인</t>
        </is>
      </c>
      <c r="I963" t="n">
        <v>5</v>
      </c>
      <c r="J963" t="n">
        <v>5389</v>
      </c>
      <c r="K963" t="n">
        <v>5352</v>
      </c>
      <c r="L963" t="inlineStr">
        <is>
          <t>L-0809</t>
        </is>
      </c>
      <c r="M963">
        <f>F963-G963</f>
        <v/>
      </c>
      <c r="N963" s="2">
        <f>M963/F963</f>
        <v/>
      </c>
      <c r="O963" s="2">
        <f>I963*J963/60/M963</f>
        <v/>
      </c>
      <c r="P963" s="2">
        <f>K963/J963</f>
        <v/>
      </c>
      <c r="Q963" s="2">
        <f>N963*O963*P963</f>
        <v/>
      </c>
    </row>
    <row r="964">
      <c r="A964" t="inlineStr">
        <is>
          <t>2026-08-10</t>
        </is>
      </c>
      <c r="B964" t="inlineStr">
        <is>
          <t>주간</t>
        </is>
      </c>
      <c r="C964" t="inlineStr">
        <is>
          <t>P2</t>
        </is>
      </c>
      <c r="D964" t="inlineStr">
        <is>
          <t>성형</t>
        </is>
      </c>
      <c r="E964" t="inlineStr">
        <is>
          <t>PR-01</t>
        </is>
      </c>
      <c r="F964" t="n">
        <v>480</v>
      </c>
      <c r="G964" t="n">
        <v>8</v>
      </c>
      <c r="H964" t="inlineStr">
        <is>
          <t>분말 공급 지연</t>
        </is>
      </c>
      <c r="I964" t="n">
        <v>6</v>
      </c>
      <c r="J964" t="n">
        <v>4327</v>
      </c>
      <c r="K964" t="n">
        <v>4281</v>
      </c>
      <c r="L964" t="inlineStr">
        <is>
          <t>L-0809</t>
        </is>
      </c>
      <c r="M964">
        <f>F964-G964</f>
        <v/>
      </c>
      <c r="N964" s="2">
        <f>M964/F964</f>
        <v/>
      </c>
      <c r="O964" s="2">
        <f>I964*J964/60/M964</f>
        <v/>
      </c>
      <c r="P964" s="2">
        <f>K964/J964</f>
        <v/>
      </c>
      <c r="Q964" s="2">
        <f>N964*O964*P964</f>
        <v/>
      </c>
    </row>
    <row r="965">
      <c r="A965" t="inlineStr">
        <is>
          <t>2026-08-10</t>
        </is>
      </c>
      <c r="B965" t="inlineStr">
        <is>
          <t>주간</t>
        </is>
      </c>
      <c r="C965" t="inlineStr">
        <is>
          <t>P2</t>
        </is>
      </c>
      <c r="D965" t="inlineStr">
        <is>
          <t>성형</t>
        </is>
      </c>
      <c r="E965" t="inlineStr">
        <is>
          <t>PR-02</t>
        </is>
      </c>
      <c r="F965" t="n">
        <v>480</v>
      </c>
      <c r="G965" t="n">
        <v>31</v>
      </c>
      <c r="H965" t="inlineStr">
        <is>
          <t>금형 교체</t>
        </is>
      </c>
      <c r="I965" t="n">
        <v>6</v>
      </c>
      <c r="J965" t="n">
        <v>4082</v>
      </c>
      <c r="K965" t="n">
        <v>4029</v>
      </c>
      <c r="L965" t="inlineStr">
        <is>
          <t>L-0809</t>
        </is>
      </c>
      <c r="M965">
        <f>F965-G965</f>
        <v/>
      </c>
      <c r="N965" s="2">
        <f>M965/F965</f>
        <v/>
      </c>
      <c r="O965" s="2">
        <f>I965*J965/60/M965</f>
        <v/>
      </c>
      <c r="P965" s="2">
        <f>K965/J965</f>
        <v/>
      </c>
      <c r="Q965" s="2">
        <f>N965*O965*P965</f>
        <v/>
      </c>
    </row>
    <row r="966">
      <c r="A966" t="inlineStr">
        <is>
          <t>2026-08-10</t>
        </is>
      </c>
      <c r="B966" t="inlineStr">
        <is>
          <t>주간</t>
        </is>
      </c>
      <c r="C966" t="inlineStr">
        <is>
          <t>P3</t>
        </is>
      </c>
      <c r="D966" t="inlineStr">
        <is>
          <t>소결</t>
        </is>
      </c>
      <c r="E966" t="inlineStr">
        <is>
          <t>SF-01</t>
        </is>
      </c>
      <c r="F966" t="n">
        <v>480</v>
      </c>
      <c r="G966" t="n">
        <v>38</v>
      </c>
      <c r="H966" t="inlineStr">
        <is>
          <t>재가열</t>
        </is>
      </c>
      <c r="I966" t="n">
        <v>6.5</v>
      </c>
      <c r="J966" t="n">
        <v>3829</v>
      </c>
      <c r="K966" t="n">
        <v>3716</v>
      </c>
      <c r="L966" t="inlineStr">
        <is>
          <t>L-0809</t>
        </is>
      </c>
      <c r="M966">
        <f>F966-G966</f>
        <v/>
      </c>
      <c r="N966" s="2">
        <f>M966/F966</f>
        <v/>
      </c>
      <c r="O966" s="2">
        <f>I966*J966/60/M966</f>
        <v/>
      </c>
      <c r="P966" s="2">
        <f>K966/J966</f>
        <v/>
      </c>
      <c r="Q966" s="2">
        <f>N966*O966*P966</f>
        <v/>
      </c>
    </row>
    <row r="967">
      <c r="A967" t="inlineStr">
        <is>
          <t>2026-08-10</t>
        </is>
      </c>
      <c r="B967" t="inlineStr">
        <is>
          <t>주간</t>
        </is>
      </c>
      <c r="C967" t="inlineStr">
        <is>
          <t>P3</t>
        </is>
      </c>
      <c r="D967" t="inlineStr">
        <is>
          <t>소결</t>
        </is>
      </c>
      <c r="E967" t="inlineStr">
        <is>
          <t>SF-02</t>
        </is>
      </c>
      <c r="F967" t="n">
        <v>480</v>
      </c>
      <c r="G967" t="n">
        <v>157</v>
      </c>
      <c r="H967" t="inlineStr">
        <is>
          <t>재가열</t>
        </is>
      </c>
      <c r="I967" t="n">
        <v>6.5</v>
      </c>
      <c r="J967" t="n">
        <v>2578</v>
      </c>
      <c r="K967" t="n">
        <v>2417</v>
      </c>
      <c r="L967" t="inlineStr">
        <is>
          <t>L-0809</t>
        </is>
      </c>
      <c r="M967">
        <f>F967-G967</f>
        <v/>
      </c>
      <c r="N967" s="2">
        <f>M967/F967</f>
        <v/>
      </c>
      <c r="O967" s="2">
        <f>I967*J967/60/M967</f>
        <v/>
      </c>
      <c r="P967" s="2">
        <f>K967/J967</f>
        <v/>
      </c>
      <c r="Q967" s="2">
        <f>N967*O967*P967</f>
        <v/>
      </c>
    </row>
    <row r="968">
      <c r="A968" t="inlineStr">
        <is>
          <t>2026-08-10</t>
        </is>
      </c>
      <c r="B968" t="inlineStr">
        <is>
          <t>주간</t>
        </is>
      </c>
      <c r="C968" t="inlineStr">
        <is>
          <t>P4</t>
        </is>
      </c>
      <c r="D968" t="inlineStr">
        <is>
          <t>연삭</t>
        </is>
      </c>
      <c r="E968" t="inlineStr">
        <is>
          <t>GR-01</t>
        </is>
      </c>
      <c r="F968" t="n">
        <v>480</v>
      </c>
      <c r="G968" t="n">
        <v>101</v>
      </c>
      <c r="H968" t="inlineStr">
        <is>
          <t>공구 교체</t>
        </is>
      </c>
      <c r="I968" t="n">
        <v>6.2</v>
      </c>
      <c r="J968" t="n">
        <v>3264</v>
      </c>
      <c r="K968" t="n">
        <v>3230</v>
      </c>
      <c r="L968" t="inlineStr">
        <is>
          <t>L-0809</t>
        </is>
      </c>
      <c r="M968">
        <f>F968-G968</f>
        <v/>
      </c>
      <c r="N968" s="2">
        <f>M968/F968</f>
        <v/>
      </c>
      <c r="O968" s="2">
        <f>I968*J968/60/M968</f>
        <v/>
      </c>
      <c r="P968" s="2">
        <f>K968/J968</f>
        <v/>
      </c>
      <c r="Q968" s="2">
        <f>N968*O968*P968</f>
        <v/>
      </c>
    </row>
    <row r="969">
      <c r="A969" t="inlineStr">
        <is>
          <t>2026-08-10</t>
        </is>
      </c>
      <c r="B969" t="inlineStr">
        <is>
          <t>주간</t>
        </is>
      </c>
      <c r="C969" t="inlineStr">
        <is>
          <t>P4</t>
        </is>
      </c>
      <c r="D969" t="inlineStr">
        <is>
          <t>연삭</t>
        </is>
      </c>
      <c r="E969" t="inlineStr">
        <is>
          <t>GR-02</t>
        </is>
      </c>
      <c r="F969" t="n">
        <v>480</v>
      </c>
      <c r="G969" t="n">
        <v>49</v>
      </c>
      <c r="H969" t="inlineStr">
        <is>
          <t>공구 교체</t>
        </is>
      </c>
      <c r="I969" t="n">
        <v>6.2</v>
      </c>
      <c r="J969" t="n">
        <v>3785</v>
      </c>
      <c r="K969" t="n">
        <v>3742</v>
      </c>
      <c r="L969" t="inlineStr">
        <is>
          <t>L-0809</t>
        </is>
      </c>
      <c r="M969">
        <f>F969-G969</f>
        <v/>
      </c>
      <c r="N969" s="2">
        <f>M969/F969</f>
        <v/>
      </c>
      <c r="O969" s="2">
        <f>I969*J969/60/M969</f>
        <v/>
      </c>
      <c r="P969" s="2">
        <f>K969/J969</f>
        <v/>
      </c>
      <c r="Q969" s="2">
        <f>N969*O969*P969</f>
        <v/>
      </c>
    </row>
    <row r="970">
      <c r="A970" t="inlineStr">
        <is>
          <t>2026-08-10</t>
        </is>
      </c>
      <c r="B970" t="inlineStr">
        <is>
          <t>주간</t>
        </is>
      </c>
      <c r="C970" t="inlineStr">
        <is>
          <t>P5</t>
        </is>
      </c>
      <c r="D970" t="inlineStr">
        <is>
          <t>검사</t>
        </is>
      </c>
      <c r="E970" t="inlineStr">
        <is>
          <t>IN-01</t>
        </is>
      </c>
      <c r="F970" t="n">
        <v>480</v>
      </c>
      <c r="G970" t="n">
        <v>11</v>
      </c>
      <c r="H970" t="inlineStr">
        <is>
          <t>샘플 재검</t>
        </is>
      </c>
      <c r="I970" t="n">
        <v>5.5</v>
      </c>
      <c r="J970" t="n">
        <v>4865</v>
      </c>
      <c r="K970" t="n">
        <v>4851</v>
      </c>
      <c r="L970" t="inlineStr">
        <is>
          <t>L-0809</t>
        </is>
      </c>
      <c r="M970">
        <f>F970-G970</f>
        <v/>
      </c>
      <c r="N970" s="2">
        <f>M970/F970</f>
        <v/>
      </c>
      <c r="O970" s="2">
        <f>I970*J970/60/M970</f>
        <v/>
      </c>
      <c r="P970" s="2">
        <f>K970/J970</f>
        <v/>
      </c>
      <c r="Q970" s="2">
        <f>N970*O970*P970</f>
        <v/>
      </c>
    </row>
    <row r="971">
      <c r="A971" t="inlineStr">
        <is>
          <t>2026-08-10</t>
        </is>
      </c>
      <c r="B971" t="inlineStr">
        <is>
          <t>주간</t>
        </is>
      </c>
      <c r="C971" t="inlineStr">
        <is>
          <t>P5</t>
        </is>
      </c>
      <c r="D971" t="inlineStr">
        <is>
          <t>검사</t>
        </is>
      </c>
      <c r="E971" t="inlineStr">
        <is>
          <t>IN-02</t>
        </is>
      </c>
      <c r="F971" t="n">
        <v>480</v>
      </c>
      <c r="G971" t="n">
        <v>18</v>
      </c>
      <c r="H971" t="inlineStr">
        <is>
          <t>샘플 재검</t>
        </is>
      </c>
      <c r="I971" t="n">
        <v>5.5</v>
      </c>
      <c r="J971" t="n">
        <v>4685</v>
      </c>
      <c r="K971" t="n">
        <v>4672</v>
      </c>
      <c r="L971" t="inlineStr">
        <is>
          <t>L-0809</t>
        </is>
      </c>
      <c r="M971">
        <f>F971-G971</f>
        <v/>
      </c>
      <c r="N971" s="2">
        <f>M971/F971</f>
        <v/>
      </c>
      <c r="O971" s="2">
        <f>I971*J971/60/M971</f>
        <v/>
      </c>
      <c r="P971" s="2">
        <f>K971/J971</f>
        <v/>
      </c>
      <c r="Q971" s="2">
        <f>N971*O971*P971</f>
        <v/>
      </c>
    </row>
    <row r="972">
      <c r="A972" t="inlineStr">
        <is>
          <t>2026-08-10</t>
        </is>
      </c>
      <c r="B972" t="inlineStr">
        <is>
          <t>주간</t>
        </is>
      </c>
      <c r="C972" t="inlineStr">
        <is>
          <t>P6</t>
        </is>
      </c>
      <c r="D972" t="inlineStr">
        <is>
          <t>포장</t>
        </is>
      </c>
      <c r="E972" t="inlineStr">
        <is>
          <t>PK-01</t>
        </is>
      </c>
      <c r="F972" t="n">
        <v>480</v>
      </c>
      <c r="G972" t="n">
        <v>13</v>
      </c>
      <c r="H972" t="inlineStr">
        <is>
          <t>자재 대기</t>
        </is>
      </c>
      <c r="I972" t="n">
        <v>4.8</v>
      </c>
      <c r="J972" t="n">
        <v>5440</v>
      </c>
      <c r="K972" t="n">
        <v>5428</v>
      </c>
      <c r="L972" t="inlineStr">
        <is>
          <t>L-0809</t>
        </is>
      </c>
      <c r="M972">
        <f>F972-G972</f>
        <v/>
      </c>
      <c r="N972" s="2">
        <f>M972/F972</f>
        <v/>
      </c>
      <c r="O972" s="2">
        <f>I972*J972/60/M972</f>
        <v/>
      </c>
      <c r="P972" s="2">
        <f>K972/J972</f>
        <v/>
      </c>
      <c r="Q972" s="2">
        <f>N972*O972*P972</f>
        <v/>
      </c>
    </row>
    <row r="973">
      <c r="A973" t="inlineStr">
        <is>
          <t>2026-08-10</t>
        </is>
      </c>
      <c r="B973" t="inlineStr">
        <is>
          <t>주간</t>
        </is>
      </c>
      <c r="C973" t="inlineStr">
        <is>
          <t>P6</t>
        </is>
      </c>
      <c r="D973" t="inlineStr">
        <is>
          <t>포장</t>
        </is>
      </c>
      <c r="E973" t="inlineStr">
        <is>
          <t>PK-02</t>
        </is>
      </c>
      <c r="F973" t="n">
        <v>480</v>
      </c>
      <c r="G973" t="n">
        <v>4</v>
      </c>
      <c r="H973" t="inlineStr">
        <is>
          <t>자재 대기</t>
        </is>
      </c>
      <c r="I973" t="n">
        <v>4.8</v>
      </c>
      <c r="J973" t="n">
        <v>5651</v>
      </c>
      <c r="K973" t="n">
        <v>5640</v>
      </c>
      <c r="L973" t="inlineStr">
        <is>
          <t>L-0809</t>
        </is>
      </c>
      <c r="M973">
        <f>F973-G973</f>
        <v/>
      </c>
      <c r="N973" s="2">
        <f>M973/F973</f>
        <v/>
      </c>
      <c r="O973" s="2">
        <f>I973*J973/60/M973</f>
        <v/>
      </c>
      <c r="P973" s="2">
        <f>K973/J973</f>
        <v/>
      </c>
      <c r="Q973" s="2">
        <f>N973*O973*P973</f>
        <v/>
      </c>
    </row>
    <row r="974">
      <c r="A974" t="inlineStr">
        <is>
          <t>2026-08-10</t>
        </is>
      </c>
      <c r="B974" t="inlineStr">
        <is>
          <t>야간</t>
        </is>
      </c>
      <c r="C974" t="inlineStr">
        <is>
          <t>P1</t>
        </is>
      </c>
      <c r="D974" t="inlineStr">
        <is>
          <t>원료혼합</t>
        </is>
      </c>
      <c r="E974" t="inlineStr">
        <is>
          <t>MX-01</t>
        </is>
      </c>
      <c r="F974" t="n">
        <v>480</v>
      </c>
      <c r="G974" t="n">
        <v>27</v>
      </c>
      <c r="H974" t="inlineStr">
        <is>
          <t>원료 대기</t>
        </is>
      </c>
      <c r="I974" t="n">
        <v>5</v>
      </c>
      <c r="J974" t="n">
        <v>5172</v>
      </c>
      <c r="K974" t="n">
        <v>5135</v>
      </c>
      <c r="L974" t="inlineStr">
        <is>
          <t>L-0809</t>
        </is>
      </c>
      <c r="M974">
        <f>F974-G974</f>
        <v/>
      </c>
      <c r="N974" s="2">
        <f>M974/F974</f>
        <v/>
      </c>
      <c r="O974" s="2">
        <f>I974*J974/60/M974</f>
        <v/>
      </c>
      <c r="P974" s="2">
        <f>K974/J974</f>
        <v/>
      </c>
      <c r="Q974" s="2">
        <f>N974*O974*P974</f>
        <v/>
      </c>
    </row>
    <row r="975">
      <c r="A975" t="inlineStr">
        <is>
          <t>2026-08-10</t>
        </is>
      </c>
      <c r="B975" t="inlineStr">
        <is>
          <t>야간</t>
        </is>
      </c>
      <c r="C975" t="inlineStr">
        <is>
          <t>P1</t>
        </is>
      </c>
      <c r="D975" t="inlineStr">
        <is>
          <t>원료혼합</t>
        </is>
      </c>
      <c r="E975" t="inlineStr">
        <is>
          <t>MX-02</t>
        </is>
      </c>
      <c r="F975" t="n">
        <v>480</v>
      </c>
      <c r="G975" t="n">
        <v>61</v>
      </c>
      <c r="H975" t="inlineStr">
        <is>
          <t>배합 확인</t>
        </is>
      </c>
      <c r="I975" t="n">
        <v>5</v>
      </c>
      <c r="J975" t="n">
        <v>4665</v>
      </c>
      <c r="K975" t="n">
        <v>4631</v>
      </c>
      <c r="L975" t="inlineStr">
        <is>
          <t>L-0809</t>
        </is>
      </c>
      <c r="M975">
        <f>F975-G975</f>
        <v/>
      </c>
      <c r="N975" s="2">
        <f>M975/F975</f>
        <v/>
      </c>
      <c r="O975" s="2">
        <f>I975*J975/60/M975</f>
        <v/>
      </c>
      <c r="P975" s="2">
        <f>K975/J975</f>
        <v/>
      </c>
      <c r="Q975" s="2">
        <f>N975*O975*P975</f>
        <v/>
      </c>
    </row>
    <row r="976">
      <c r="A976" t="inlineStr">
        <is>
          <t>2026-08-10</t>
        </is>
      </c>
      <c r="B976" t="inlineStr">
        <is>
          <t>야간</t>
        </is>
      </c>
      <c r="C976" t="inlineStr">
        <is>
          <t>P2</t>
        </is>
      </c>
      <c r="D976" t="inlineStr">
        <is>
          <t>성형</t>
        </is>
      </c>
      <c r="E976" t="inlineStr">
        <is>
          <t>PR-01</t>
        </is>
      </c>
      <c r="F976" t="n">
        <v>480</v>
      </c>
      <c r="G976" t="n">
        <v>53</v>
      </c>
      <c r="H976" t="inlineStr">
        <is>
          <t>분말 공급 지연</t>
        </is>
      </c>
      <c r="I976" t="n">
        <v>6</v>
      </c>
      <c r="J976" t="n">
        <v>4131</v>
      </c>
      <c r="K976" t="n">
        <v>4072</v>
      </c>
      <c r="L976" t="inlineStr">
        <is>
          <t>L-0809</t>
        </is>
      </c>
      <c r="M976">
        <f>F976-G976</f>
        <v/>
      </c>
      <c r="N976" s="2">
        <f>M976/F976</f>
        <v/>
      </c>
      <c r="O976" s="2">
        <f>I976*J976/60/M976</f>
        <v/>
      </c>
      <c r="P976" s="2">
        <f>K976/J976</f>
        <v/>
      </c>
      <c r="Q976" s="2">
        <f>N976*O976*P976</f>
        <v/>
      </c>
    </row>
    <row r="977">
      <c r="A977" t="inlineStr">
        <is>
          <t>2026-08-10</t>
        </is>
      </c>
      <c r="B977" t="inlineStr">
        <is>
          <t>야간</t>
        </is>
      </c>
      <c r="C977" t="inlineStr">
        <is>
          <t>P2</t>
        </is>
      </c>
      <c r="D977" t="inlineStr">
        <is>
          <t>성형</t>
        </is>
      </c>
      <c r="E977" t="inlineStr">
        <is>
          <t>PR-02</t>
        </is>
      </c>
      <c r="F977" t="n">
        <v>480</v>
      </c>
      <c r="G977" t="n">
        <v>35</v>
      </c>
      <c r="H977" t="inlineStr">
        <is>
          <t>분말 공급 지연</t>
        </is>
      </c>
      <c r="I977" t="n">
        <v>6</v>
      </c>
      <c r="J977" t="n">
        <v>4103</v>
      </c>
      <c r="K977" t="n">
        <v>4047</v>
      </c>
      <c r="L977" t="inlineStr">
        <is>
          <t>L-0809</t>
        </is>
      </c>
      <c r="M977">
        <f>F977-G977</f>
        <v/>
      </c>
      <c r="N977" s="2">
        <f>M977/F977</f>
        <v/>
      </c>
      <c r="O977" s="2">
        <f>I977*J977/60/M977</f>
        <v/>
      </c>
      <c r="P977" s="2">
        <f>K977/J977</f>
        <v/>
      </c>
      <c r="Q977" s="2">
        <f>N977*O977*P977</f>
        <v/>
      </c>
    </row>
    <row r="978">
      <c r="A978" t="inlineStr">
        <is>
          <t>2026-08-10</t>
        </is>
      </c>
      <c r="B978" t="inlineStr">
        <is>
          <t>야간</t>
        </is>
      </c>
      <c r="C978" t="inlineStr">
        <is>
          <t>P3</t>
        </is>
      </c>
      <c r="D978" t="inlineStr">
        <is>
          <t>소결</t>
        </is>
      </c>
      <c r="E978" t="inlineStr">
        <is>
          <t>SF-01</t>
        </is>
      </c>
      <c r="F978" t="n">
        <v>480</v>
      </c>
      <c r="G978" t="n">
        <v>44</v>
      </c>
      <c r="H978" t="inlineStr">
        <is>
          <t>장입 대기</t>
        </is>
      </c>
      <c r="I978" t="n">
        <v>6.5</v>
      </c>
      <c r="J978" t="n">
        <v>3676</v>
      </c>
      <c r="K978" t="n">
        <v>3575</v>
      </c>
      <c r="L978" t="inlineStr">
        <is>
          <t>L-0809</t>
        </is>
      </c>
      <c r="M978">
        <f>F978-G978</f>
        <v/>
      </c>
      <c r="N978" s="2">
        <f>M978/F978</f>
        <v/>
      </c>
      <c r="O978" s="2">
        <f>I978*J978/60/M978</f>
        <v/>
      </c>
      <c r="P978" s="2">
        <f>K978/J978</f>
        <v/>
      </c>
      <c r="Q978" s="2">
        <f>N978*O978*P978</f>
        <v/>
      </c>
    </row>
    <row r="979">
      <c r="A979" t="inlineStr">
        <is>
          <t>2026-08-10</t>
        </is>
      </c>
      <c r="B979" t="inlineStr">
        <is>
          <t>야간</t>
        </is>
      </c>
      <c r="C979" t="inlineStr">
        <is>
          <t>P3</t>
        </is>
      </c>
      <c r="D979" t="inlineStr">
        <is>
          <t>소결</t>
        </is>
      </c>
      <c r="E979" t="inlineStr">
        <is>
          <t>SF-02</t>
        </is>
      </c>
      <c r="F979" t="n">
        <v>480</v>
      </c>
      <c r="G979" t="n">
        <v>128</v>
      </c>
      <c r="H979" t="inlineStr">
        <is>
          <t>재가열</t>
        </is>
      </c>
      <c r="I979" t="n">
        <v>6.5</v>
      </c>
      <c r="J979" t="n">
        <v>2826</v>
      </c>
      <c r="K979" t="n">
        <v>2630</v>
      </c>
      <c r="L979" t="inlineStr">
        <is>
          <t>L-0809</t>
        </is>
      </c>
      <c r="M979">
        <f>F979-G979</f>
        <v/>
      </c>
      <c r="N979" s="2">
        <f>M979/F979</f>
        <v/>
      </c>
      <c r="O979" s="2">
        <f>I979*J979/60/M979</f>
        <v/>
      </c>
      <c r="P979" s="2">
        <f>K979/J979</f>
        <v/>
      </c>
      <c r="Q979" s="2">
        <f>N979*O979*P979</f>
        <v/>
      </c>
    </row>
    <row r="980">
      <c r="A980" t="inlineStr">
        <is>
          <t>2026-08-10</t>
        </is>
      </c>
      <c r="B980" t="inlineStr">
        <is>
          <t>야간</t>
        </is>
      </c>
      <c r="C980" t="inlineStr">
        <is>
          <t>P4</t>
        </is>
      </c>
      <c r="D980" t="inlineStr">
        <is>
          <t>연삭</t>
        </is>
      </c>
      <c r="E980" t="inlineStr">
        <is>
          <t>GR-01</t>
        </is>
      </c>
      <c r="F980" t="n">
        <v>480</v>
      </c>
      <c r="G980" t="n">
        <v>65</v>
      </c>
      <c r="H980" t="inlineStr">
        <is>
          <t>공구 교체</t>
        </is>
      </c>
      <c r="I980" t="n">
        <v>6.2</v>
      </c>
      <c r="J980" t="n">
        <v>3806</v>
      </c>
      <c r="K980" t="n">
        <v>3760</v>
      </c>
      <c r="L980" t="inlineStr">
        <is>
          <t>L-0809</t>
        </is>
      </c>
      <c r="M980">
        <f>F980-G980</f>
        <v/>
      </c>
      <c r="N980" s="2">
        <f>M980/F980</f>
        <v/>
      </c>
      <c r="O980" s="2">
        <f>I980*J980/60/M980</f>
        <v/>
      </c>
      <c r="P980" s="2">
        <f>K980/J980</f>
        <v/>
      </c>
      <c r="Q980" s="2">
        <f>N980*O980*P980</f>
        <v/>
      </c>
    </row>
    <row r="981">
      <c r="A981" t="inlineStr">
        <is>
          <t>2026-08-10</t>
        </is>
      </c>
      <c r="B981" t="inlineStr">
        <is>
          <t>야간</t>
        </is>
      </c>
      <c r="C981" t="inlineStr">
        <is>
          <t>P4</t>
        </is>
      </c>
      <c r="D981" t="inlineStr">
        <is>
          <t>연삭</t>
        </is>
      </c>
      <c r="E981" t="inlineStr">
        <is>
          <t>GR-02</t>
        </is>
      </c>
      <c r="F981" t="n">
        <v>480</v>
      </c>
      <c r="G981" t="n">
        <v>45</v>
      </c>
      <c r="H981" t="inlineStr">
        <is>
          <t>공구 교체</t>
        </is>
      </c>
      <c r="I981" t="n">
        <v>6.2</v>
      </c>
      <c r="J981" t="n">
        <v>3922</v>
      </c>
      <c r="K981" t="n">
        <v>3880</v>
      </c>
      <c r="L981" t="inlineStr">
        <is>
          <t>L-0809</t>
        </is>
      </c>
      <c r="M981">
        <f>F981-G981</f>
        <v/>
      </c>
      <c r="N981" s="2">
        <f>M981/F981</f>
        <v/>
      </c>
      <c r="O981" s="2">
        <f>I981*J981/60/M981</f>
        <v/>
      </c>
      <c r="P981" s="2">
        <f>K981/J981</f>
        <v/>
      </c>
      <c r="Q981" s="2">
        <f>N981*O981*P981</f>
        <v/>
      </c>
    </row>
    <row r="982">
      <c r="A982" t="inlineStr">
        <is>
          <t>2026-08-10</t>
        </is>
      </c>
      <c r="B982" t="inlineStr">
        <is>
          <t>야간</t>
        </is>
      </c>
      <c r="C982" t="inlineStr">
        <is>
          <t>P5</t>
        </is>
      </c>
      <c r="D982" t="inlineStr">
        <is>
          <t>검사</t>
        </is>
      </c>
      <c r="E982" t="inlineStr">
        <is>
          <t>IN-01</t>
        </is>
      </c>
      <c r="F982" t="n">
        <v>480</v>
      </c>
      <c r="G982" t="n">
        <v>57</v>
      </c>
      <c r="H982" t="inlineStr">
        <is>
          <t>샘플 재검</t>
        </is>
      </c>
      <c r="I982" t="n">
        <v>5.5</v>
      </c>
      <c r="J982" t="n">
        <v>4392</v>
      </c>
      <c r="K982" t="n">
        <v>4376</v>
      </c>
      <c r="L982" t="inlineStr">
        <is>
          <t>L-0809</t>
        </is>
      </c>
      <c r="M982">
        <f>F982-G982</f>
        <v/>
      </c>
      <c r="N982" s="2">
        <f>M982/F982</f>
        <v/>
      </c>
      <c r="O982" s="2">
        <f>I982*J982/60/M982</f>
        <v/>
      </c>
      <c r="P982" s="2">
        <f>K982/J982</f>
        <v/>
      </c>
      <c r="Q982" s="2">
        <f>N982*O982*P982</f>
        <v/>
      </c>
    </row>
    <row r="983">
      <c r="A983" t="inlineStr">
        <is>
          <t>2026-08-10</t>
        </is>
      </c>
      <c r="B983" t="inlineStr">
        <is>
          <t>야간</t>
        </is>
      </c>
      <c r="C983" t="inlineStr">
        <is>
          <t>P5</t>
        </is>
      </c>
      <c r="D983" t="inlineStr">
        <is>
          <t>검사</t>
        </is>
      </c>
      <c r="E983" t="inlineStr">
        <is>
          <t>IN-02</t>
        </is>
      </c>
      <c r="F983" t="n">
        <v>480</v>
      </c>
      <c r="G983" t="n">
        <v>63</v>
      </c>
      <c r="H983" t="inlineStr">
        <is>
          <t>샘플 재검</t>
        </is>
      </c>
      <c r="I983" t="n">
        <v>5.5</v>
      </c>
      <c r="J983" t="n">
        <v>4446</v>
      </c>
      <c r="K983" t="n">
        <v>4429</v>
      </c>
      <c r="L983" t="inlineStr">
        <is>
          <t>L-0809</t>
        </is>
      </c>
      <c r="M983">
        <f>F983-G983</f>
        <v/>
      </c>
      <c r="N983" s="2">
        <f>M983/F983</f>
        <v/>
      </c>
      <c r="O983" s="2">
        <f>I983*J983/60/M983</f>
        <v/>
      </c>
      <c r="P983" s="2">
        <f>K983/J983</f>
        <v/>
      </c>
      <c r="Q983" s="2">
        <f>N983*O983*P983</f>
        <v/>
      </c>
    </row>
    <row r="984">
      <c r="A984" t="inlineStr">
        <is>
          <t>2026-08-10</t>
        </is>
      </c>
      <c r="B984" t="inlineStr">
        <is>
          <t>야간</t>
        </is>
      </c>
      <c r="C984" t="inlineStr">
        <is>
          <t>P6</t>
        </is>
      </c>
      <c r="D984" t="inlineStr">
        <is>
          <t>포장</t>
        </is>
      </c>
      <c r="E984" t="inlineStr">
        <is>
          <t>PK-01</t>
        </is>
      </c>
      <c r="F984" t="n">
        <v>480</v>
      </c>
      <c r="G984" t="n">
        <v>18</v>
      </c>
      <c r="H984" t="inlineStr">
        <is>
          <t>자재 대기</t>
        </is>
      </c>
      <c r="I984" t="n">
        <v>4.8</v>
      </c>
      <c r="J984" t="n">
        <v>5229</v>
      </c>
      <c r="K984" t="n">
        <v>5213</v>
      </c>
      <c r="L984" t="inlineStr">
        <is>
          <t>L-0809</t>
        </is>
      </c>
      <c r="M984">
        <f>F984-G984</f>
        <v/>
      </c>
      <c r="N984" s="2">
        <f>M984/F984</f>
        <v/>
      </c>
      <c r="O984" s="2">
        <f>I984*J984/60/M984</f>
        <v/>
      </c>
      <c r="P984" s="2">
        <f>K984/J984</f>
        <v/>
      </c>
      <c r="Q984" s="2">
        <f>N984*O984*P984</f>
        <v/>
      </c>
    </row>
    <row r="985">
      <c r="A985" t="inlineStr">
        <is>
          <t>2026-08-10</t>
        </is>
      </c>
      <c r="B985" t="inlineStr">
        <is>
          <t>야간</t>
        </is>
      </c>
      <c r="C985" t="inlineStr">
        <is>
          <t>P6</t>
        </is>
      </c>
      <c r="D985" t="inlineStr">
        <is>
          <t>포장</t>
        </is>
      </c>
      <c r="E985" t="inlineStr">
        <is>
          <t>PK-02</t>
        </is>
      </c>
      <c r="F985" t="n">
        <v>480</v>
      </c>
      <c r="G985" t="n">
        <v>13</v>
      </c>
      <c r="H985" t="inlineStr">
        <is>
          <t>라벨 교체</t>
        </is>
      </c>
      <c r="I985" t="n">
        <v>4.8</v>
      </c>
      <c r="J985" t="n">
        <v>5239</v>
      </c>
      <c r="K985" t="n">
        <v>5226</v>
      </c>
      <c r="L985" t="inlineStr">
        <is>
          <t>L-0809</t>
        </is>
      </c>
      <c r="M985">
        <f>F985-G985</f>
        <v/>
      </c>
      <c r="N985" s="2">
        <f>M985/F985</f>
        <v/>
      </c>
      <c r="O985" s="2">
        <f>I985*J985/60/M985</f>
        <v/>
      </c>
      <c r="P985" s="2">
        <f>K985/J985</f>
        <v/>
      </c>
      <c r="Q985" s="2">
        <f>N985*O985*P985</f>
        <v/>
      </c>
    </row>
    <row r="986">
      <c r="A986" t="inlineStr">
        <is>
          <t>2026-08-11</t>
        </is>
      </c>
      <c r="B986" t="inlineStr">
        <is>
          <t>주간</t>
        </is>
      </c>
      <c r="C986" t="inlineStr">
        <is>
          <t>P1</t>
        </is>
      </c>
      <c r="D986" t="inlineStr">
        <is>
          <t>원료혼합</t>
        </is>
      </c>
      <c r="E986" t="inlineStr">
        <is>
          <t>MX-01</t>
        </is>
      </c>
      <c r="F986" t="n">
        <v>480</v>
      </c>
      <c r="G986" t="n">
        <v>7</v>
      </c>
      <c r="H986" t="inlineStr">
        <is>
          <t>배합 확인</t>
        </is>
      </c>
      <c r="I986" t="n">
        <v>5</v>
      </c>
      <c r="J986" t="n">
        <v>4867</v>
      </c>
      <c r="K986" t="n">
        <v>4839</v>
      </c>
      <c r="L986" t="inlineStr">
        <is>
          <t>L-0809</t>
        </is>
      </c>
      <c r="M986">
        <f>F986-G986</f>
        <v/>
      </c>
      <c r="N986" s="2">
        <f>M986/F986</f>
        <v/>
      </c>
      <c r="O986" s="2">
        <f>I986*J986/60/M986</f>
        <v/>
      </c>
      <c r="P986" s="2">
        <f>K986/J986</f>
        <v/>
      </c>
      <c r="Q986" s="2">
        <f>N986*O986*P986</f>
        <v/>
      </c>
    </row>
    <row r="987">
      <c r="A987" t="inlineStr">
        <is>
          <t>2026-08-11</t>
        </is>
      </c>
      <c r="B987" t="inlineStr">
        <is>
          <t>주간</t>
        </is>
      </c>
      <c r="C987" t="inlineStr">
        <is>
          <t>P1</t>
        </is>
      </c>
      <c r="D987" t="inlineStr">
        <is>
          <t>원료혼합</t>
        </is>
      </c>
      <c r="E987" t="inlineStr">
        <is>
          <t>MX-02</t>
        </is>
      </c>
      <c r="F987" t="n">
        <v>480</v>
      </c>
      <c r="G987" t="n">
        <v>1</v>
      </c>
      <c r="H987" t="inlineStr">
        <is>
          <t>원료 대기</t>
        </is>
      </c>
      <c r="I987" t="n">
        <v>5</v>
      </c>
      <c r="J987" t="n">
        <v>5479</v>
      </c>
      <c r="K987" t="n">
        <v>5445</v>
      </c>
      <c r="L987" t="inlineStr">
        <is>
          <t>L-0809</t>
        </is>
      </c>
      <c r="M987">
        <f>F987-G987</f>
        <v/>
      </c>
      <c r="N987" s="2">
        <f>M987/F987</f>
        <v/>
      </c>
      <c r="O987" s="2">
        <f>I987*J987/60/M987</f>
        <v/>
      </c>
      <c r="P987" s="2">
        <f>K987/J987</f>
        <v/>
      </c>
      <c r="Q987" s="2">
        <f>N987*O987*P987</f>
        <v/>
      </c>
    </row>
    <row r="988">
      <c r="A988" t="inlineStr">
        <is>
          <t>2026-08-11</t>
        </is>
      </c>
      <c r="B988" t="inlineStr">
        <is>
          <t>주간</t>
        </is>
      </c>
      <c r="C988" t="inlineStr">
        <is>
          <t>P2</t>
        </is>
      </c>
      <c r="D988" t="inlineStr">
        <is>
          <t>성형</t>
        </is>
      </c>
      <c r="E988" t="inlineStr">
        <is>
          <t>PR-01</t>
        </is>
      </c>
      <c r="F988" t="n">
        <v>480</v>
      </c>
      <c r="G988" t="n">
        <v>15</v>
      </c>
      <c r="H988" t="inlineStr">
        <is>
          <t>금형 교체</t>
        </is>
      </c>
      <c r="I988" t="n">
        <v>6</v>
      </c>
      <c r="J988" t="n">
        <v>4266</v>
      </c>
      <c r="K988" t="n">
        <v>4224</v>
      </c>
      <c r="L988" t="inlineStr">
        <is>
          <t>L-0809</t>
        </is>
      </c>
      <c r="M988">
        <f>F988-G988</f>
        <v/>
      </c>
      <c r="N988" s="2">
        <f>M988/F988</f>
        <v/>
      </c>
      <c r="O988" s="2">
        <f>I988*J988/60/M988</f>
        <v/>
      </c>
      <c r="P988" s="2">
        <f>K988/J988</f>
        <v/>
      </c>
      <c r="Q988" s="2">
        <f>N988*O988*P988</f>
        <v/>
      </c>
    </row>
    <row r="989">
      <c r="A989" t="inlineStr">
        <is>
          <t>2026-08-11</t>
        </is>
      </c>
      <c r="B989" t="inlineStr">
        <is>
          <t>주간</t>
        </is>
      </c>
      <c r="C989" t="inlineStr">
        <is>
          <t>P2</t>
        </is>
      </c>
      <c r="D989" t="inlineStr">
        <is>
          <t>성형</t>
        </is>
      </c>
      <c r="E989" t="inlineStr">
        <is>
          <t>PR-02</t>
        </is>
      </c>
      <c r="F989" t="n">
        <v>480</v>
      </c>
      <c r="G989" t="n">
        <v>13</v>
      </c>
      <c r="H989" t="inlineStr">
        <is>
          <t>금형 교체</t>
        </is>
      </c>
      <c r="I989" t="n">
        <v>6</v>
      </c>
      <c r="J989" t="n">
        <v>4473</v>
      </c>
      <c r="K989" t="n">
        <v>4421</v>
      </c>
      <c r="L989" t="inlineStr">
        <is>
          <t>L-0809</t>
        </is>
      </c>
      <c r="M989">
        <f>F989-G989</f>
        <v/>
      </c>
      <c r="N989" s="2">
        <f>M989/F989</f>
        <v/>
      </c>
      <c r="O989" s="2">
        <f>I989*J989/60/M989</f>
        <v/>
      </c>
      <c r="P989" s="2">
        <f>K989/J989</f>
        <v/>
      </c>
      <c r="Q989" s="2">
        <f>N989*O989*P989</f>
        <v/>
      </c>
    </row>
    <row r="990">
      <c r="A990" t="inlineStr">
        <is>
          <t>2026-08-11</t>
        </is>
      </c>
      <c r="B990" t="inlineStr">
        <is>
          <t>주간</t>
        </is>
      </c>
      <c r="C990" t="inlineStr">
        <is>
          <t>P3</t>
        </is>
      </c>
      <c r="D990" t="inlineStr">
        <is>
          <t>소결</t>
        </is>
      </c>
      <c r="E990" t="inlineStr">
        <is>
          <t>SF-01</t>
        </is>
      </c>
      <c r="F990" t="n">
        <v>480</v>
      </c>
      <c r="G990" t="n">
        <v>26</v>
      </c>
      <c r="H990" t="inlineStr">
        <is>
          <t>승온 대기</t>
        </is>
      </c>
      <c r="I990" t="n">
        <v>6.5</v>
      </c>
      <c r="J990" t="n">
        <v>3764</v>
      </c>
      <c r="K990" t="n">
        <v>3656</v>
      </c>
      <c r="L990" t="inlineStr">
        <is>
          <t>L-0809</t>
        </is>
      </c>
      <c r="M990">
        <f>F990-G990</f>
        <v/>
      </c>
      <c r="N990" s="2">
        <f>M990/F990</f>
        <v/>
      </c>
      <c r="O990" s="2">
        <f>I990*J990/60/M990</f>
        <v/>
      </c>
      <c r="P990" s="2">
        <f>K990/J990</f>
        <v/>
      </c>
      <c r="Q990" s="2">
        <f>N990*O990*P990</f>
        <v/>
      </c>
    </row>
    <row r="991">
      <c r="A991" t="inlineStr">
        <is>
          <t>2026-08-11</t>
        </is>
      </c>
      <c r="B991" t="inlineStr">
        <is>
          <t>주간</t>
        </is>
      </c>
      <c r="C991" t="inlineStr">
        <is>
          <t>P3</t>
        </is>
      </c>
      <c r="D991" t="inlineStr">
        <is>
          <t>소결</t>
        </is>
      </c>
      <c r="E991" t="inlineStr">
        <is>
          <t>SF-02</t>
        </is>
      </c>
      <c r="F991" t="n">
        <v>480</v>
      </c>
      <c r="G991" t="n">
        <v>120</v>
      </c>
      <c r="H991" t="inlineStr">
        <is>
          <t>온도 이상 정지</t>
        </is>
      </c>
      <c r="I991" t="n">
        <v>6.5</v>
      </c>
      <c r="J991" t="n">
        <v>2793</v>
      </c>
      <c r="K991" t="n">
        <v>2624</v>
      </c>
      <c r="L991" t="inlineStr">
        <is>
          <t>L-0809</t>
        </is>
      </c>
      <c r="M991">
        <f>F991-G991</f>
        <v/>
      </c>
      <c r="N991" s="2">
        <f>M991/F991</f>
        <v/>
      </c>
      <c r="O991" s="2">
        <f>I991*J991/60/M991</f>
        <v/>
      </c>
      <c r="P991" s="2">
        <f>K991/J991</f>
        <v/>
      </c>
      <c r="Q991" s="2">
        <f>N991*O991*P991</f>
        <v/>
      </c>
    </row>
    <row r="992">
      <c r="A992" t="inlineStr">
        <is>
          <t>2026-08-11</t>
        </is>
      </c>
      <c r="B992" t="inlineStr">
        <is>
          <t>주간</t>
        </is>
      </c>
      <c r="C992" t="inlineStr">
        <is>
          <t>P4</t>
        </is>
      </c>
      <c r="D992" t="inlineStr">
        <is>
          <t>연삭</t>
        </is>
      </c>
      <c r="E992" t="inlineStr">
        <is>
          <t>GR-01</t>
        </is>
      </c>
      <c r="F992" t="n">
        <v>480</v>
      </c>
      <c r="G992" t="n">
        <v>69</v>
      </c>
      <c r="H992" t="inlineStr">
        <is>
          <t>공구 교체</t>
        </is>
      </c>
      <c r="I992" t="n">
        <v>6.2</v>
      </c>
      <c r="J992" t="n">
        <v>3762</v>
      </c>
      <c r="K992" t="n">
        <v>3720</v>
      </c>
      <c r="L992" t="inlineStr">
        <is>
          <t>L-0809</t>
        </is>
      </c>
      <c r="M992">
        <f>F992-G992</f>
        <v/>
      </c>
      <c r="N992" s="2">
        <f>M992/F992</f>
        <v/>
      </c>
      <c r="O992" s="2">
        <f>I992*J992/60/M992</f>
        <v/>
      </c>
      <c r="P992" s="2">
        <f>K992/J992</f>
        <v/>
      </c>
      <c r="Q992" s="2">
        <f>N992*O992*P992</f>
        <v/>
      </c>
    </row>
    <row r="993">
      <c r="A993" t="inlineStr">
        <is>
          <t>2026-08-11</t>
        </is>
      </c>
      <c r="B993" t="inlineStr">
        <is>
          <t>주간</t>
        </is>
      </c>
      <c r="C993" t="inlineStr">
        <is>
          <t>P4</t>
        </is>
      </c>
      <c r="D993" t="inlineStr">
        <is>
          <t>연삭</t>
        </is>
      </c>
      <c r="E993" t="inlineStr">
        <is>
          <t>GR-02</t>
        </is>
      </c>
      <c r="F993" t="n">
        <v>480</v>
      </c>
      <c r="G993" t="n">
        <v>42</v>
      </c>
      <c r="H993" t="inlineStr">
        <is>
          <t>드레싱</t>
        </is>
      </c>
      <c r="I993" t="n">
        <v>6.2</v>
      </c>
      <c r="J993" t="n">
        <v>4049</v>
      </c>
      <c r="K993" t="n">
        <v>4014</v>
      </c>
      <c r="L993" t="inlineStr">
        <is>
          <t>L-0809</t>
        </is>
      </c>
      <c r="M993">
        <f>F993-G993</f>
        <v/>
      </c>
      <c r="N993" s="2">
        <f>M993/F993</f>
        <v/>
      </c>
      <c r="O993" s="2">
        <f>I993*J993/60/M993</f>
        <v/>
      </c>
      <c r="P993" s="2">
        <f>K993/J993</f>
        <v/>
      </c>
      <c r="Q993" s="2">
        <f>N993*O993*P993</f>
        <v/>
      </c>
    </row>
    <row r="994">
      <c r="A994" t="inlineStr">
        <is>
          <t>2026-08-11</t>
        </is>
      </c>
      <c r="B994" t="inlineStr">
        <is>
          <t>주간</t>
        </is>
      </c>
      <c r="C994" t="inlineStr">
        <is>
          <t>P5</t>
        </is>
      </c>
      <c r="D994" t="inlineStr">
        <is>
          <t>검사</t>
        </is>
      </c>
      <c r="E994" t="inlineStr">
        <is>
          <t>IN-01</t>
        </is>
      </c>
      <c r="F994" t="n">
        <v>480</v>
      </c>
      <c r="G994" t="n">
        <v>37</v>
      </c>
      <c r="H994" t="inlineStr">
        <is>
          <t>측정기 교정</t>
        </is>
      </c>
      <c r="I994" t="n">
        <v>5.5</v>
      </c>
      <c r="J994" t="n">
        <v>4392</v>
      </c>
      <c r="K994" t="n">
        <v>4379</v>
      </c>
      <c r="L994" t="inlineStr">
        <is>
          <t>L-0809</t>
        </is>
      </c>
      <c r="M994">
        <f>F994-G994</f>
        <v/>
      </c>
      <c r="N994" s="2">
        <f>M994/F994</f>
        <v/>
      </c>
      <c r="O994" s="2">
        <f>I994*J994/60/M994</f>
        <v/>
      </c>
      <c r="P994" s="2">
        <f>K994/J994</f>
        <v/>
      </c>
      <c r="Q994" s="2">
        <f>N994*O994*P994</f>
        <v/>
      </c>
    </row>
    <row r="995">
      <c r="A995" t="inlineStr">
        <is>
          <t>2026-08-11</t>
        </is>
      </c>
      <c r="B995" t="inlineStr">
        <is>
          <t>주간</t>
        </is>
      </c>
      <c r="C995" t="inlineStr">
        <is>
          <t>P5</t>
        </is>
      </c>
      <c r="D995" t="inlineStr">
        <is>
          <t>검사</t>
        </is>
      </c>
      <c r="E995" t="inlineStr">
        <is>
          <t>IN-02</t>
        </is>
      </c>
      <c r="F995" t="n">
        <v>480</v>
      </c>
      <c r="G995" t="n">
        <v>51</v>
      </c>
      <c r="H995" t="inlineStr">
        <is>
          <t>측정기 교정</t>
        </is>
      </c>
      <c r="I995" t="n">
        <v>5.5</v>
      </c>
      <c r="J995" t="n">
        <v>4464</v>
      </c>
      <c r="K995" t="n">
        <v>4449</v>
      </c>
      <c r="L995" t="inlineStr">
        <is>
          <t>L-0809</t>
        </is>
      </c>
      <c r="M995">
        <f>F995-G995</f>
        <v/>
      </c>
      <c r="N995" s="2">
        <f>M995/F995</f>
        <v/>
      </c>
      <c r="O995" s="2">
        <f>I995*J995/60/M995</f>
        <v/>
      </c>
      <c r="P995" s="2">
        <f>K995/J995</f>
        <v/>
      </c>
      <c r="Q995" s="2">
        <f>N995*O995*P995</f>
        <v/>
      </c>
    </row>
    <row r="996">
      <c r="A996" t="inlineStr">
        <is>
          <t>2026-08-11</t>
        </is>
      </c>
      <c r="B996" t="inlineStr">
        <is>
          <t>주간</t>
        </is>
      </c>
      <c r="C996" t="inlineStr">
        <is>
          <t>P6</t>
        </is>
      </c>
      <c r="D996" t="inlineStr">
        <is>
          <t>포장</t>
        </is>
      </c>
      <c r="E996" t="inlineStr">
        <is>
          <t>PK-01</t>
        </is>
      </c>
      <c r="F996" t="n">
        <v>480</v>
      </c>
      <c r="G996" t="n">
        <v>86</v>
      </c>
      <c r="H996" t="inlineStr">
        <is>
          <t>라벨 교체</t>
        </is>
      </c>
      <c r="I996" t="n">
        <v>4.8</v>
      </c>
      <c r="J996" t="n">
        <v>4656</v>
      </c>
      <c r="K996" t="n">
        <v>4648</v>
      </c>
      <c r="L996" t="inlineStr">
        <is>
          <t>L-0809</t>
        </is>
      </c>
      <c r="M996">
        <f>F996-G996</f>
        <v/>
      </c>
      <c r="N996" s="2">
        <f>M996/F996</f>
        <v/>
      </c>
      <c r="O996" s="2">
        <f>I996*J996/60/M996</f>
        <v/>
      </c>
      <c r="P996" s="2">
        <f>K996/J996</f>
        <v/>
      </c>
      <c r="Q996" s="2">
        <f>N996*O996*P996</f>
        <v/>
      </c>
    </row>
    <row r="997">
      <c r="A997" t="inlineStr">
        <is>
          <t>2026-08-11</t>
        </is>
      </c>
      <c r="B997" t="inlineStr">
        <is>
          <t>주간</t>
        </is>
      </c>
      <c r="C997" t="inlineStr">
        <is>
          <t>P6</t>
        </is>
      </c>
      <c r="D997" t="inlineStr">
        <is>
          <t>포장</t>
        </is>
      </c>
      <c r="E997" t="inlineStr">
        <is>
          <t>PK-02</t>
        </is>
      </c>
      <c r="F997" t="n">
        <v>480</v>
      </c>
      <c r="G997" t="n">
        <v>25</v>
      </c>
      <c r="H997" t="inlineStr">
        <is>
          <t>자재 대기</t>
        </is>
      </c>
      <c r="I997" t="n">
        <v>4.8</v>
      </c>
      <c r="J997" t="n">
        <v>5447</v>
      </c>
      <c r="K997" t="n">
        <v>5437</v>
      </c>
      <c r="L997" t="inlineStr">
        <is>
          <t>L-0809</t>
        </is>
      </c>
      <c r="M997">
        <f>F997-G997</f>
        <v/>
      </c>
      <c r="N997" s="2">
        <f>M997/F997</f>
        <v/>
      </c>
      <c r="O997" s="2">
        <f>I997*J997/60/M997</f>
        <v/>
      </c>
      <c r="P997" s="2">
        <f>K997/J997</f>
        <v/>
      </c>
      <c r="Q997" s="2">
        <f>N997*O997*P997</f>
        <v/>
      </c>
    </row>
    <row r="998">
      <c r="A998" t="inlineStr">
        <is>
          <t>2026-08-11</t>
        </is>
      </c>
      <c r="B998" t="inlineStr">
        <is>
          <t>야간</t>
        </is>
      </c>
      <c r="C998" t="inlineStr">
        <is>
          <t>P1</t>
        </is>
      </c>
      <c r="D998" t="inlineStr">
        <is>
          <t>원료혼합</t>
        </is>
      </c>
      <c r="E998" t="inlineStr">
        <is>
          <t>MX-01</t>
        </is>
      </c>
      <c r="F998" t="n">
        <v>480</v>
      </c>
      <c r="G998" t="n">
        <v>44</v>
      </c>
      <c r="H998" t="inlineStr">
        <is>
          <t>배합 확인</t>
        </is>
      </c>
      <c r="I998" t="n">
        <v>5</v>
      </c>
      <c r="J998" t="n">
        <v>4747</v>
      </c>
      <c r="K998" t="n">
        <v>4717</v>
      </c>
      <c r="L998" t="inlineStr">
        <is>
          <t>L-0809</t>
        </is>
      </c>
      <c r="M998">
        <f>F998-G998</f>
        <v/>
      </c>
      <c r="N998" s="2">
        <f>M998/F998</f>
        <v/>
      </c>
      <c r="O998" s="2">
        <f>I998*J998/60/M998</f>
        <v/>
      </c>
      <c r="P998" s="2">
        <f>K998/J998</f>
        <v/>
      </c>
      <c r="Q998" s="2">
        <f>N998*O998*P998</f>
        <v/>
      </c>
    </row>
    <row r="999">
      <c r="A999" t="inlineStr">
        <is>
          <t>2026-08-11</t>
        </is>
      </c>
      <c r="B999" t="inlineStr">
        <is>
          <t>야간</t>
        </is>
      </c>
      <c r="C999" t="inlineStr">
        <is>
          <t>P1</t>
        </is>
      </c>
      <c r="D999" t="inlineStr">
        <is>
          <t>원료혼합</t>
        </is>
      </c>
      <c r="E999" t="inlineStr">
        <is>
          <t>MX-02</t>
        </is>
      </c>
      <c r="F999" t="n">
        <v>480</v>
      </c>
      <c r="G999" t="n">
        <v>27</v>
      </c>
      <c r="H999" t="inlineStr">
        <is>
          <t>원료 대기</t>
        </is>
      </c>
      <c r="I999" t="n">
        <v>5</v>
      </c>
      <c r="J999" t="n">
        <v>4933</v>
      </c>
      <c r="K999" t="n">
        <v>4902</v>
      </c>
      <c r="L999" t="inlineStr">
        <is>
          <t>L-0809</t>
        </is>
      </c>
      <c r="M999">
        <f>F999-G999</f>
        <v/>
      </c>
      <c r="N999" s="2">
        <f>M999/F999</f>
        <v/>
      </c>
      <c r="O999" s="2">
        <f>I999*J999/60/M999</f>
        <v/>
      </c>
      <c r="P999" s="2">
        <f>K999/J999</f>
        <v/>
      </c>
      <c r="Q999" s="2">
        <f>N999*O999*P999</f>
        <v/>
      </c>
    </row>
    <row r="1000">
      <c r="A1000" t="inlineStr">
        <is>
          <t>2026-08-11</t>
        </is>
      </c>
      <c r="B1000" t="inlineStr">
        <is>
          <t>야간</t>
        </is>
      </c>
      <c r="C1000" t="inlineStr">
        <is>
          <t>P2</t>
        </is>
      </c>
      <c r="D1000" t="inlineStr">
        <is>
          <t>성형</t>
        </is>
      </c>
      <c r="E1000" t="inlineStr">
        <is>
          <t>PR-01</t>
        </is>
      </c>
      <c r="F1000" t="n">
        <v>480</v>
      </c>
      <c r="G1000" t="n">
        <v>55</v>
      </c>
      <c r="H1000" t="inlineStr">
        <is>
          <t>분말 공급 지연</t>
        </is>
      </c>
      <c r="I1000" t="n">
        <v>6</v>
      </c>
      <c r="J1000" t="n">
        <v>3897</v>
      </c>
      <c r="K1000" t="n">
        <v>3844</v>
      </c>
      <c r="L1000" t="inlineStr">
        <is>
          <t>L-0809</t>
        </is>
      </c>
      <c r="M1000">
        <f>F1000-G1000</f>
        <v/>
      </c>
      <c r="N1000" s="2">
        <f>M1000/F1000</f>
        <v/>
      </c>
      <c r="O1000" s="2">
        <f>I1000*J1000/60/M1000</f>
        <v/>
      </c>
      <c r="P1000" s="2">
        <f>K1000/J1000</f>
        <v/>
      </c>
      <c r="Q1000" s="2">
        <f>N1000*O1000*P1000</f>
        <v/>
      </c>
    </row>
    <row r="1001">
      <c r="A1001" t="inlineStr">
        <is>
          <t>2026-08-11</t>
        </is>
      </c>
      <c r="B1001" t="inlineStr">
        <is>
          <t>야간</t>
        </is>
      </c>
      <c r="C1001" t="inlineStr">
        <is>
          <t>P2</t>
        </is>
      </c>
      <c r="D1001" t="inlineStr">
        <is>
          <t>성형</t>
        </is>
      </c>
      <c r="E1001" t="inlineStr">
        <is>
          <t>PR-02</t>
        </is>
      </c>
      <c r="F1001" t="n">
        <v>480</v>
      </c>
      <c r="G1001" t="n">
        <v>61</v>
      </c>
      <c r="H1001" t="inlineStr">
        <is>
          <t>압력 이상</t>
        </is>
      </c>
      <c r="I1001" t="n">
        <v>6</v>
      </c>
      <c r="J1001" t="n">
        <v>3867</v>
      </c>
      <c r="K1001" t="n">
        <v>3812</v>
      </c>
      <c r="L1001" t="inlineStr">
        <is>
          <t>L-0809</t>
        </is>
      </c>
      <c r="M1001">
        <f>F1001-G1001</f>
        <v/>
      </c>
      <c r="N1001" s="2">
        <f>M1001/F1001</f>
        <v/>
      </c>
      <c r="O1001" s="2">
        <f>I1001*J1001/60/M1001</f>
        <v/>
      </c>
      <c r="P1001" s="2">
        <f>K1001/J1001</f>
        <v/>
      </c>
      <c r="Q1001" s="2">
        <f>N1001*O1001*P1001</f>
        <v/>
      </c>
    </row>
    <row r="1002">
      <c r="A1002" t="inlineStr">
        <is>
          <t>2026-08-11</t>
        </is>
      </c>
      <c r="B1002" t="inlineStr">
        <is>
          <t>야간</t>
        </is>
      </c>
      <c r="C1002" t="inlineStr">
        <is>
          <t>P3</t>
        </is>
      </c>
      <c r="D1002" t="inlineStr">
        <is>
          <t>소결</t>
        </is>
      </c>
      <c r="E1002" t="inlineStr">
        <is>
          <t>SF-01</t>
        </is>
      </c>
      <c r="F1002" t="n">
        <v>480</v>
      </c>
      <c r="G1002" t="n">
        <v>65</v>
      </c>
      <c r="H1002" t="inlineStr">
        <is>
          <t>승온 대기</t>
        </is>
      </c>
      <c r="I1002" t="n">
        <v>6.5</v>
      </c>
      <c r="J1002" t="n">
        <v>3446</v>
      </c>
      <c r="K1002" t="n">
        <v>3377</v>
      </c>
      <c r="L1002" t="inlineStr">
        <is>
          <t>L-0809</t>
        </is>
      </c>
      <c r="M1002">
        <f>F1002-G1002</f>
        <v/>
      </c>
      <c r="N1002" s="2">
        <f>M1002/F1002</f>
        <v/>
      </c>
      <c r="O1002" s="2">
        <f>I1002*J1002/60/M1002</f>
        <v/>
      </c>
      <c r="P1002" s="2">
        <f>K1002/J1002</f>
        <v/>
      </c>
      <c r="Q1002" s="2">
        <f>N1002*O1002*P1002</f>
        <v/>
      </c>
    </row>
    <row r="1003">
      <c r="A1003" t="inlineStr">
        <is>
          <t>2026-08-11</t>
        </is>
      </c>
      <c r="B1003" t="inlineStr">
        <is>
          <t>야간</t>
        </is>
      </c>
      <c r="C1003" t="inlineStr">
        <is>
          <t>P3</t>
        </is>
      </c>
      <c r="D1003" t="inlineStr">
        <is>
          <t>소결</t>
        </is>
      </c>
      <c r="E1003" t="inlineStr">
        <is>
          <t>SF-02</t>
        </is>
      </c>
      <c r="F1003" t="n">
        <v>480</v>
      </c>
      <c r="G1003" t="n">
        <v>92</v>
      </c>
      <c r="H1003" t="inlineStr">
        <is>
          <t>재가열</t>
        </is>
      </c>
      <c r="I1003" t="n">
        <v>6.5</v>
      </c>
      <c r="J1003" t="n">
        <v>3252</v>
      </c>
      <c r="K1003" t="n">
        <v>2989</v>
      </c>
      <c r="L1003" t="inlineStr">
        <is>
          <t>L-0809</t>
        </is>
      </c>
      <c r="M1003">
        <f>F1003-G1003</f>
        <v/>
      </c>
      <c r="N1003" s="2">
        <f>M1003/F1003</f>
        <v/>
      </c>
      <c r="O1003" s="2">
        <f>I1003*J1003/60/M1003</f>
        <v/>
      </c>
      <c r="P1003" s="2">
        <f>K1003/J1003</f>
        <v/>
      </c>
      <c r="Q1003" s="2">
        <f>N1003*O1003*P1003</f>
        <v/>
      </c>
    </row>
    <row r="1004">
      <c r="A1004" t="inlineStr">
        <is>
          <t>2026-08-11</t>
        </is>
      </c>
      <c r="B1004" t="inlineStr">
        <is>
          <t>야간</t>
        </is>
      </c>
      <c r="C1004" t="inlineStr">
        <is>
          <t>P4</t>
        </is>
      </c>
      <c r="D1004" t="inlineStr">
        <is>
          <t>연삭</t>
        </is>
      </c>
      <c r="E1004" t="inlineStr">
        <is>
          <t>GR-01</t>
        </is>
      </c>
      <c r="F1004" t="n">
        <v>480</v>
      </c>
      <c r="G1004" t="n">
        <v>58</v>
      </c>
      <c r="H1004" t="inlineStr">
        <is>
          <t>드레싱</t>
        </is>
      </c>
      <c r="I1004" t="n">
        <v>6.2</v>
      </c>
      <c r="J1004" t="n">
        <v>3745</v>
      </c>
      <c r="K1004" t="n">
        <v>3712</v>
      </c>
      <c r="L1004" t="inlineStr">
        <is>
          <t>L-0809</t>
        </is>
      </c>
      <c r="M1004">
        <f>F1004-G1004</f>
        <v/>
      </c>
      <c r="N1004" s="2">
        <f>M1004/F1004</f>
        <v/>
      </c>
      <c r="O1004" s="2">
        <f>I1004*J1004/60/M1004</f>
        <v/>
      </c>
      <c r="P1004" s="2">
        <f>K1004/J1004</f>
        <v/>
      </c>
      <c r="Q1004" s="2">
        <f>N1004*O1004*P1004</f>
        <v/>
      </c>
    </row>
    <row r="1005">
      <c r="A1005" t="inlineStr">
        <is>
          <t>2026-08-11</t>
        </is>
      </c>
      <c r="B1005" t="inlineStr">
        <is>
          <t>야간</t>
        </is>
      </c>
      <c r="C1005" t="inlineStr">
        <is>
          <t>P4</t>
        </is>
      </c>
      <c r="D1005" t="inlineStr">
        <is>
          <t>연삭</t>
        </is>
      </c>
      <c r="E1005" t="inlineStr">
        <is>
          <t>GR-02</t>
        </is>
      </c>
      <c r="F1005" t="n">
        <v>480</v>
      </c>
      <c r="G1005" t="n">
        <v>68</v>
      </c>
      <c r="H1005" t="inlineStr">
        <is>
          <t>공구 교체</t>
        </is>
      </c>
      <c r="I1005" t="n">
        <v>6.2</v>
      </c>
      <c r="J1005" t="n">
        <v>3790</v>
      </c>
      <c r="K1005" t="n">
        <v>3756</v>
      </c>
      <c r="L1005" t="inlineStr">
        <is>
          <t>L-0809</t>
        </is>
      </c>
      <c r="M1005">
        <f>F1005-G1005</f>
        <v/>
      </c>
      <c r="N1005" s="2">
        <f>M1005/F1005</f>
        <v/>
      </c>
      <c r="O1005" s="2">
        <f>I1005*J1005/60/M1005</f>
        <v/>
      </c>
      <c r="P1005" s="2">
        <f>K1005/J1005</f>
        <v/>
      </c>
      <c r="Q1005" s="2">
        <f>N1005*O1005*P1005</f>
        <v/>
      </c>
    </row>
    <row r="1006">
      <c r="A1006" t="inlineStr">
        <is>
          <t>2026-08-11</t>
        </is>
      </c>
      <c r="B1006" t="inlineStr">
        <is>
          <t>야간</t>
        </is>
      </c>
      <c r="C1006" t="inlineStr">
        <is>
          <t>P5</t>
        </is>
      </c>
      <c r="D1006" t="inlineStr">
        <is>
          <t>검사</t>
        </is>
      </c>
      <c r="E1006" t="inlineStr">
        <is>
          <t>IN-01</t>
        </is>
      </c>
      <c r="F1006" t="n">
        <v>480</v>
      </c>
      <c r="G1006" t="n">
        <v>11</v>
      </c>
      <c r="H1006" t="inlineStr">
        <is>
          <t>샘플 재검</t>
        </is>
      </c>
      <c r="I1006" t="n">
        <v>5.5</v>
      </c>
      <c r="J1006" t="n">
        <v>4678</v>
      </c>
      <c r="K1006" t="n">
        <v>4660</v>
      </c>
      <c r="L1006" t="inlineStr">
        <is>
          <t>L-0809</t>
        </is>
      </c>
      <c r="M1006">
        <f>F1006-G1006</f>
        <v/>
      </c>
      <c r="N1006" s="2">
        <f>M1006/F1006</f>
        <v/>
      </c>
      <c r="O1006" s="2">
        <f>I1006*J1006/60/M1006</f>
        <v/>
      </c>
      <c r="P1006" s="2">
        <f>K1006/J1006</f>
        <v/>
      </c>
      <c r="Q1006" s="2">
        <f>N1006*O1006*P1006</f>
        <v/>
      </c>
    </row>
    <row r="1007">
      <c r="A1007" t="inlineStr">
        <is>
          <t>2026-08-11</t>
        </is>
      </c>
      <c r="B1007" t="inlineStr">
        <is>
          <t>야간</t>
        </is>
      </c>
      <c r="C1007" t="inlineStr">
        <is>
          <t>P5</t>
        </is>
      </c>
      <c r="D1007" t="inlineStr">
        <is>
          <t>검사</t>
        </is>
      </c>
      <c r="E1007" t="inlineStr">
        <is>
          <t>IN-02</t>
        </is>
      </c>
      <c r="F1007" t="n">
        <v>480</v>
      </c>
      <c r="G1007" t="n">
        <v>26</v>
      </c>
      <c r="H1007" t="inlineStr">
        <is>
          <t>샘플 재검</t>
        </is>
      </c>
      <c r="I1007" t="n">
        <v>5.5</v>
      </c>
      <c r="J1007" t="n">
        <v>4674</v>
      </c>
      <c r="K1007" t="n">
        <v>4656</v>
      </c>
      <c r="L1007" t="inlineStr">
        <is>
          <t>L-0809</t>
        </is>
      </c>
      <c r="M1007">
        <f>F1007-G1007</f>
        <v/>
      </c>
      <c r="N1007" s="2">
        <f>M1007/F1007</f>
        <v/>
      </c>
      <c r="O1007" s="2">
        <f>I1007*J1007/60/M1007</f>
        <v/>
      </c>
      <c r="P1007" s="2">
        <f>K1007/J1007</f>
        <v/>
      </c>
      <c r="Q1007" s="2">
        <f>N1007*O1007*P1007</f>
        <v/>
      </c>
    </row>
    <row r="1008">
      <c r="A1008" t="inlineStr">
        <is>
          <t>2026-08-11</t>
        </is>
      </c>
      <c r="B1008" t="inlineStr">
        <is>
          <t>야간</t>
        </is>
      </c>
      <c r="C1008" t="inlineStr">
        <is>
          <t>P6</t>
        </is>
      </c>
      <c r="D1008" t="inlineStr">
        <is>
          <t>포장</t>
        </is>
      </c>
      <c r="E1008" t="inlineStr">
        <is>
          <t>PK-01</t>
        </is>
      </c>
      <c r="F1008" t="n">
        <v>480</v>
      </c>
      <c r="G1008" t="n">
        <v>40</v>
      </c>
      <c r="H1008" t="inlineStr">
        <is>
          <t>라벨 교체</t>
        </is>
      </c>
      <c r="I1008" t="n">
        <v>4.8</v>
      </c>
      <c r="J1008" t="n">
        <v>5194</v>
      </c>
      <c r="K1008" t="n">
        <v>5181</v>
      </c>
      <c r="L1008" t="inlineStr">
        <is>
          <t>L-0809</t>
        </is>
      </c>
      <c r="M1008">
        <f>F1008-G1008</f>
        <v/>
      </c>
      <c r="N1008" s="2">
        <f>M1008/F1008</f>
        <v/>
      </c>
      <c r="O1008" s="2">
        <f>I1008*J1008/60/M1008</f>
        <v/>
      </c>
      <c r="P1008" s="2">
        <f>K1008/J1008</f>
        <v/>
      </c>
      <c r="Q1008" s="2">
        <f>N1008*O1008*P1008</f>
        <v/>
      </c>
    </row>
    <row r="1009">
      <c r="A1009" t="inlineStr">
        <is>
          <t>2026-08-11</t>
        </is>
      </c>
      <c r="B1009" t="inlineStr">
        <is>
          <t>야간</t>
        </is>
      </c>
      <c r="C1009" t="inlineStr">
        <is>
          <t>P6</t>
        </is>
      </c>
      <c r="D1009" t="inlineStr">
        <is>
          <t>포장</t>
        </is>
      </c>
      <c r="E1009" t="inlineStr">
        <is>
          <t>PK-02</t>
        </is>
      </c>
      <c r="F1009" t="n">
        <v>480</v>
      </c>
      <c r="G1009" t="n">
        <v>34</v>
      </c>
      <c r="H1009" t="inlineStr">
        <is>
          <t>자재 대기</t>
        </is>
      </c>
      <c r="I1009" t="n">
        <v>4.8</v>
      </c>
      <c r="J1009" t="n">
        <v>5338</v>
      </c>
      <c r="K1009" t="n">
        <v>5320</v>
      </c>
      <c r="L1009" t="inlineStr">
        <is>
          <t>L-0809</t>
        </is>
      </c>
      <c r="M1009">
        <f>F1009-G1009</f>
        <v/>
      </c>
      <c r="N1009" s="2">
        <f>M1009/F1009</f>
        <v/>
      </c>
      <c r="O1009" s="2">
        <f>I1009*J1009/60/M1009</f>
        <v/>
      </c>
      <c r="P1009" s="2">
        <f>K1009/J1009</f>
        <v/>
      </c>
      <c r="Q1009" s="2">
        <f>N1009*O1009*P1009</f>
        <v/>
      </c>
    </row>
    <row r="1010">
      <c r="A1010" t="inlineStr">
        <is>
          <t>2026-08-12</t>
        </is>
      </c>
      <c r="B1010" t="inlineStr">
        <is>
          <t>주간</t>
        </is>
      </c>
      <c r="C1010" t="inlineStr">
        <is>
          <t>P1</t>
        </is>
      </c>
      <c r="D1010" t="inlineStr">
        <is>
          <t>원료혼합</t>
        </is>
      </c>
      <c r="E1010" t="inlineStr">
        <is>
          <t>MX-01</t>
        </is>
      </c>
      <c r="F1010" t="n">
        <v>480</v>
      </c>
      <c r="G1010" t="n">
        <v>4</v>
      </c>
      <c r="H1010" t="inlineStr">
        <is>
          <t>원료 대기</t>
        </is>
      </c>
      <c r="I1010" t="n">
        <v>5</v>
      </c>
      <c r="J1010" t="n">
        <v>5427</v>
      </c>
      <c r="K1010" t="n">
        <v>5396</v>
      </c>
      <c r="L1010" t="inlineStr">
        <is>
          <t>L-0809</t>
        </is>
      </c>
      <c r="M1010">
        <f>F1010-G1010</f>
        <v/>
      </c>
      <c r="N1010" s="2">
        <f>M1010/F1010</f>
        <v/>
      </c>
      <c r="O1010" s="2">
        <f>I1010*J1010/60/M1010</f>
        <v/>
      </c>
      <c r="P1010" s="2">
        <f>K1010/J1010</f>
        <v/>
      </c>
      <c r="Q1010" s="2">
        <f>N1010*O1010*P1010</f>
        <v/>
      </c>
    </row>
    <row r="1011">
      <c r="A1011" t="inlineStr">
        <is>
          <t>2026-08-12</t>
        </is>
      </c>
      <c r="B1011" t="inlineStr">
        <is>
          <t>주간</t>
        </is>
      </c>
      <c r="C1011" t="inlineStr">
        <is>
          <t>P1</t>
        </is>
      </c>
      <c r="D1011" t="inlineStr">
        <is>
          <t>원료혼합</t>
        </is>
      </c>
      <c r="E1011" t="inlineStr">
        <is>
          <t>MX-02</t>
        </is>
      </c>
      <c r="F1011" t="n">
        <v>480</v>
      </c>
      <c r="G1011" t="n">
        <v>37</v>
      </c>
      <c r="H1011" t="inlineStr">
        <is>
          <t>청소</t>
        </is>
      </c>
      <c r="I1011" t="n">
        <v>5</v>
      </c>
      <c r="J1011" t="n">
        <v>4957</v>
      </c>
      <c r="K1011" t="n">
        <v>4929</v>
      </c>
      <c r="L1011" t="inlineStr">
        <is>
          <t>L-0809</t>
        </is>
      </c>
      <c r="M1011">
        <f>F1011-G1011</f>
        <v/>
      </c>
      <c r="N1011" s="2">
        <f>M1011/F1011</f>
        <v/>
      </c>
      <c r="O1011" s="2">
        <f>I1011*J1011/60/M1011</f>
        <v/>
      </c>
      <c r="P1011" s="2">
        <f>K1011/J1011</f>
        <v/>
      </c>
      <c r="Q1011" s="2">
        <f>N1011*O1011*P1011</f>
        <v/>
      </c>
    </row>
    <row r="1012">
      <c r="A1012" t="inlineStr">
        <is>
          <t>2026-08-12</t>
        </is>
      </c>
      <c r="B1012" t="inlineStr">
        <is>
          <t>주간</t>
        </is>
      </c>
      <c r="C1012" t="inlineStr">
        <is>
          <t>P2</t>
        </is>
      </c>
      <c r="D1012" t="inlineStr">
        <is>
          <t>성형</t>
        </is>
      </c>
      <c r="E1012" t="inlineStr">
        <is>
          <t>PR-01</t>
        </is>
      </c>
      <c r="F1012" t="n">
        <v>480</v>
      </c>
      <c r="G1012" t="n">
        <v>59</v>
      </c>
      <c r="H1012" t="inlineStr">
        <is>
          <t>금형 교체</t>
        </is>
      </c>
      <c r="I1012" t="n">
        <v>6</v>
      </c>
      <c r="J1012" t="n">
        <v>3790</v>
      </c>
      <c r="K1012" t="n">
        <v>3734</v>
      </c>
      <c r="L1012" t="inlineStr">
        <is>
          <t>L-0809</t>
        </is>
      </c>
      <c r="M1012">
        <f>F1012-G1012</f>
        <v/>
      </c>
      <c r="N1012" s="2">
        <f>M1012/F1012</f>
        <v/>
      </c>
      <c r="O1012" s="2">
        <f>I1012*J1012/60/M1012</f>
        <v/>
      </c>
      <c r="P1012" s="2">
        <f>K1012/J1012</f>
        <v/>
      </c>
      <c r="Q1012" s="2">
        <f>N1012*O1012*P1012</f>
        <v/>
      </c>
    </row>
    <row r="1013">
      <c r="A1013" t="inlineStr">
        <is>
          <t>2026-08-12</t>
        </is>
      </c>
      <c r="B1013" t="inlineStr">
        <is>
          <t>주간</t>
        </is>
      </c>
      <c r="C1013" t="inlineStr">
        <is>
          <t>P2</t>
        </is>
      </c>
      <c r="D1013" t="inlineStr">
        <is>
          <t>성형</t>
        </is>
      </c>
      <c r="E1013" t="inlineStr">
        <is>
          <t>PR-02</t>
        </is>
      </c>
      <c r="F1013" t="n">
        <v>480</v>
      </c>
      <c r="G1013" t="n">
        <v>7</v>
      </c>
      <c r="H1013" t="inlineStr">
        <is>
          <t>분말 공급 지연</t>
        </is>
      </c>
      <c r="I1013" t="n">
        <v>6</v>
      </c>
      <c r="J1013" t="n">
        <v>4561</v>
      </c>
      <c r="K1013" t="n">
        <v>4497</v>
      </c>
      <c r="L1013" t="inlineStr">
        <is>
          <t>L-0809</t>
        </is>
      </c>
      <c r="M1013">
        <f>F1013-G1013</f>
        <v/>
      </c>
      <c r="N1013" s="2">
        <f>M1013/F1013</f>
        <v/>
      </c>
      <c r="O1013" s="2">
        <f>I1013*J1013/60/M1013</f>
        <v/>
      </c>
      <c r="P1013" s="2">
        <f>K1013/J1013</f>
        <v/>
      </c>
      <c r="Q1013" s="2">
        <f>N1013*O1013*P1013</f>
        <v/>
      </c>
    </row>
    <row r="1014">
      <c r="A1014" t="inlineStr">
        <is>
          <t>2026-08-12</t>
        </is>
      </c>
      <c r="B1014" t="inlineStr">
        <is>
          <t>주간</t>
        </is>
      </c>
      <c r="C1014" t="inlineStr">
        <is>
          <t>P3</t>
        </is>
      </c>
      <c r="D1014" t="inlineStr">
        <is>
          <t>소결</t>
        </is>
      </c>
      <c r="E1014" t="inlineStr">
        <is>
          <t>SF-01</t>
        </is>
      </c>
      <c r="F1014" t="n">
        <v>480</v>
      </c>
      <c r="G1014" t="n">
        <v>72</v>
      </c>
      <c r="H1014" t="inlineStr">
        <is>
          <t>온도 이상 정지</t>
        </is>
      </c>
      <c r="I1014" t="n">
        <v>6.5</v>
      </c>
      <c r="J1014" t="n">
        <v>3508</v>
      </c>
      <c r="K1014" t="n">
        <v>3421</v>
      </c>
      <c r="L1014" t="inlineStr">
        <is>
          <t>L-0809</t>
        </is>
      </c>
      <c r="M1014">
        <f>F1014-G1014</f>
        <v/>
      </c>
      <c r="N1014" s="2">
        <f>M1014/F1014</f>
        <v/>
      </c>
      <c r="O1014" s="2">
        <f>I1014*J1014/60/M1014</f>
        <v/>
      </c>
      <c r="P1014" s="2">
        <f>K1014/J1014</f>
        <v/>
      </c>
      <c r="Q1014" s="2">
        <f>N1014*O1014*P1014</f>
        <v/>
      </c>
    </row>
    <row r="1015">
      <c r="A1015" t="inlineStr">
        <is>
          <t>2026-08-12</t>
        </is>
      </c>
      <c r="B1015" t="inlineStr">
        <is>
          <t>주간</t>
        </is>
      </c>
      <c r="C1015" t="inlineStr">
        <is>
          <t>P3</t>
        </is>
      </c>
      <c r="D1015" t="inlineStr">
        <is>
          <t>소결</t>
        </is>
      </c>
      <c r="E1015" t="inlineStr">
        <is>
          <t>SF-02</t>
        </is>
      </c>
      <c r="F1015" t="n">
        <v>480</v>
      </c>
      <c r="G1015" t="n">
        <v>73</v>
      </c>
      <c r="H1015" t="inlineStr">
        <is>
          <t>온도 이상 정지</t>
        </is>
      </c>
      <c r="I1015" t="n">
        <v>6.5</v>
      </c>
      <c r="J1015" t="n">
        <v>3264</v>
      </c>
      <c r="K1015" t="n">
        <v>3134</v>
      </c>
      <c r="L1015" t="inlineStr">
        <is>
          <t>L-0809</t>
        </is>
      </c>
      <c r="M1015">
        <f>F1015-G1015</f>
        <v/>
      </c>
      <c r="N1015" s="2">
        <f>M1015/F1015</f>
        <v/>
      </c>
      <c r="O1015" s="2">
        <f>I1015*J1015/60/M1015</f>
        <v/>
      </c>
      <c r="P1015" s="2">
        <f>K1015/J1015</f>
        <v/>
      </c>
      <c r="Q1015" s="2">
        <f>N1015*O1015*P1015</f>
        <v/>
      </c>
    </row>
    <row r="1016">
      <c r="A1016" t="inlineStr">
        <is>
          <t>2026-08-12</t>
        </is>
      </c>
      <c r="B1016" t="inlineStr">
        <is>
          <t>주간</t>
        </is>
      </c>
      <c r="C1016" t="inlineStr">
        <is>
          <t>P4</t>
        </is>
      </c>
      <c r="D1016" t="inlineStr">
        <is>
          <t>연삭</t>
        </is>
      </c>
      <c r="E1016" t="inlineStr">
        <is>
          <t>GR-01</t>
        </is>
      </c>
      <c r="F1016" t="n">
        <v>480</v>
      </c>
      <c r="G1016" t="n">
        <v>63</v>
      </c>
      <c r="H1016" t="inlineStr">
        <is>
          <t>공구 교체</t>
        </is>
      </c>
      <c r="I1016" t="n">
        <v>6.2</v>
      </c>
      <c r="J1016" t="n">
        <v>3815</v>
      </c>
      <c r="K1016" t="n">
        <v>3771</v>
      </c>
      <c r="L1016" t="inlineStr">
        <is>
          <t>L-0809</t>
        </is>
      </c>
      <c r="M1016">
        <f>F1016-G1016</f>
        <v/>
      </c>
      <c r="N1016" s="2">
        <f>M1016/F1016</f>
        <v/>
      </c>
      <c r="O1016" s="2">
        <f>I1016*J1016/60/M1016</f>
        <v/>
      </c>
      <c r="P1016" s="2">
        <f>K1016/J1016</f>
        <v/>
      </c>
      <c r="Q1016" s="2">
        <f>N1016*O1016*P1016</f>
        <v/>
      </c>
    </row>
    <row r="1017">
      <c r="A1017" t="inlineStr">
        <is>
          <t>2026-08-12</t>
        </is>
      </c>
      <c r="B1017" t="inlineStr">
        <is>
          <t>주간</t>
        </is>
      </c>
      <c r="C1017" t="inlineStr">
        <is>
          <t>P4</t>
        </is>
      </c>
      <c r="D1017" t="inlineStr">
        <is>
          <t>연삭</t>
        </is>
      </c>
      <c r="E1017" t="inlineStr">
        <is>
          <t>GR-02</t>
        </is>
      </c>
      <c r="F1017" t="n">
        <v>480</v>
      </c>
      <c r="G1017" t="n">
        <v>56</v>
      </c>
      <c r="H1017" t="inlineStr">
        <is>
          <t>드레싱</t>
        </is>
      </c>
      <c r="I1017" t="n">
        <v>6.2</v>
      </c>
      <c r="J1017" t="n">
        <v>3620</v>
      </c>
      <c r="K1017" t="n">
        <v>3580</v>
      </c>
      <c r="L1017" t="inlineStr">
        <is>
          <t>L-0809</t>
        </is>
      </c>
      <c r="M1017">
        <f>F1017-G1017</f>
        <v/>
      </c>
      <c r="N1017" s="2">
        <f>M1017/F1017</f>
        <v/>
      </c>
      <c r="O1017" s="2">
        <f>I1017*J1017/60/M1017</f>
        <v/>
      </c>
      <c r="P1017" s="2">
        <f>K1017/J1017</f>
        <v/>
      </c>
      <c r="Q1017" s="2">
        <f>N1017*O1017*P1017</f>
        <v/>
      </c>
    </row>
    <row r="1018">
      <c r="A1018" t="inlineStr">
        <is>
          <t>2026-08-12</t>
        </is>
      </c>
      <c r="B1018" t="inlineStr">
        <is>
          <t>주간</t>
        </is>
      </c>
      <c r="C1018" t="inlineStr">
        <is>
          <t>P5</t>
        </is>
      </c>
      <c r="D1018" t="inlineStr">
        <is>
          <t>검사</t>
        </is>
      </c>
      <c r="E1018" t="inlineStr">
        <is>
          <t>IN-01</t>
        </is>
      </c>
      <c r="F1018" t="n">
        <v>480</v>
      </c>
      <c r="G1018" t="n">
        <v>11</v>
      </c>
      <c r="H1018" t="inlineStr">
        <is>
          <t>샘플 재검</t>
        </is>
      </c>
      <c r="I1018" t="n">
        <v>5.5</v>
      </c>
      <c r="J1018" t="n">
        <v>4810</v>
      </c>
      <c r="K1018" t="n">
        <v>4796</v>
      </c>
      <c r="L1018" t="inlineStr">
        <is>
          <t>L-0809</t>
        </is>
      </c>
      <c r="M1018">
        <f>F1018-G1018</f>
        <v/>
      </c>
      <c r="N1018" s="2">
        <f>M1018/F1018</f>
        <v/>
      </c>
      <c r="O1018" s="2">
        <f>I1018*J1018/60/M1018</f>
        <v/>
      </c>
      <c r="P1018" s="2">
        <f>K1018/J1018</f>
        <v/>
      </c>
      <c r="Q1018" s="2">
        <f>N1018*O1018*P1018</f>
        <v/>
      </c>
    </row>
    <row r="1019">
      <c r="A1019" t="inlineStr">
        <is>
          <t>2026-08-12</t>
        </is>
      </c>
      <c r="B1019" t="inlineStr">
        <is>
          <t>주간</t>
        </is>
      </c>
      <c r="C1019" t="inlineStr">
        <is>
          <t>P5</t>
        </is>
      </c>
      <c r="D1019" t="inlineStr">
        <is>
          <t>검사</t>
        </is>
      </c>
      <c r="E1019" t="inlineStr">
        <is>
          <t>IN-02</t>
        </is>
      </c>
      <c r="F1019" t="n">
        <v>480</v>
      </c>
      <c r="G1019" t="n">
        <v>20</v>
      </c>
      <c r="H1019" t="inlineStr">
        <is>
          <t>샘플 재검</t>
        </is>
      </c>
      <c r="I1019" t="n">
        <v>5.5</v>
      </c>
      <c r="J1019" t="n">
        <v>4668</v>
      </c>
      <c r="K1019" t="n">
        <v>4655</v>
      </c>
      <c r="L1019" t="inlineStr">
        <is>
          <t>L-0809</t>
        </is>
      </c>
      <c r="M1019">
        <f>F1019-G1019</f>
        <v/>
      </c>
      <c r="N1019" s="2">
        <f>M1019/F1019</f>
        <v/>
      </c>
      <c r="O1019" s="2">
        <f>I1019*J1019/60/M1019</f>
        <v/>
      </c>
      <c r="P1019" s="2">
        <f>K1019/J1019</f>
        <v/>
      </c>
      <c r="Q1019" s="2">
        <f>N1019*O1019*P1019</f>
        <v/>
      </c>
    </row>
    <row r="1020">
      <c r="A1020" t="inlineStr">
        <is>
          <t>2026-08-12</t>
        </is>
      </c>
      <c r="B1020" t="inlineStr">
        <is>
          <t>주간</t>
        </is>
      </c>
      <c r="C1020" t="inlineStr">
        <is>
          <t>P6</t>
        </is>
      </c>
      <c r="D1020" t="inlineStr">
        <is>
          <t>포장</t>
        </is>
      </c>
      <c r="E1020" t="inlineStr">
        <is>
          <t>PK-01</t>
        </is>
      </c>
      <c r="F1020" t="n">
        <v>480</v>
      </c>
      <c r="G1020" t="n">
        <v>14</v>
      </c>
      <c r="H1020" t="inlineStr">
        <is>
          <t>라벨 교체</t>
        </is>
      </c>
      <c r="I1020" t="n">
        <v>4.8</v>
      </c>
      <c r="J1020" t="n">
        <v>5358</v>
      </c>
      <c r="K1020" t="n">
        <v>5350</v>
      </c>
      <c r="L1020" t="inlineStr">
        <is>
          <t>L-0809</t>
        </is>
      </c>
      <c r="M1020">
        <f>F1020-G1020</f>
        <v/>
      </c>
      <c r="N1020" s="2">
        <f>M1020/F1020</f>
        <v/>
      </c>
      <c r="O1020" s="2">
        <f>I1020*J1020/60/M1020</f>
        <v/>
      </c>
      <c r="P1020" s="2">
        <f>K1020/J1020</f>
        <v/>
      </c>
      <c r="Q1020" s="2">
        <f>N1020*O1020*P1020</f>
        <v/>
      </c>
    </row>
    <row r="1021">
      <c r="A1021" t="inlineStr">
        <is>
          <t>2026-08-12</t>
        </is>
      </c>
      <c r="B1021" t="inlineStr">
        <is>
          <t>주간</t>
        </is>
      </c>
      <c r="C1021" t="inlineStr">
        <is>
          <t>P6</t>
        </is>
      </c>
      <c r="D1021" t="inlineStr">
        <is>
          <t>포장</t>
        </is>
      </c>
      <c r="E1021" t="inlineStr">
        <is>
          <t>PK-02</t>
        </is>
      </c>
      <c r="F1021" t="n">
        <v>480</v>
      </c>
      <c r="G1021" t="n">
        <v>24</v>
      </c>
      <c r="H1021" t="inlineStr">
        <is>
          <t>라벨 교체</t>
        </is>
      </c>
      <c r="I1021" t="n">
        <v>4.8</v>
      </c>
      <c r="J1021" t="n">
        <v>5391</v>
      </c>
      <c r="K1021" t="n">
        <v>5382</v>
      </c>
      <c r="L1021" t="inlineStr">
        <is>
          <t>L-0809</t>
        </is>
      </c>
      <c r="M1021">
        <f>F1021-G1021</f>
        <v/>
      </c>
      <c r="N1021" s="2">
        <f>M1021/F1021</f>
        <v/>
      </c>
      <c r="O1021" s="2">
        <f>I1021*J1021/60/M1021</f>
        <v/>
      </c>
      <c r="P1021" s="2">
        <f>K1021/J1021</f>
        <v/>
      </c>
      <c r="Q1021" s="2">
        <f>N1021*O1021*P1021</f>
        <v/>
      </c>
    </row>
    <row r="1022">
      <c r="A1022" t="inlineStr">
        <is>
          <t>2026-08-12</t>
        </is>
      </c>
      <c r="B1022" t="inlineStr">
        <is>
          <t>야간</t>
        </is>
      </c>
      <c r="C1022" t="inlineStr">
        <is>
          <t>P1</t>
        </is>
      </c>
      <c r="D1022" t="inlineStr">
        <is>
          <t>원료혼합</t>
        </is>
      </c>
      <c r="E1022" t="inlineStr">
        <is>
          <t>MX-01</t>
        </is>
      </c>
      <c r="F1022" t="n">
        <v>480</v>
      </c>
      <c r="G1022" t="n">
        <v>47</v>
      </c>
      <c r="H1022" t="inlineStr">
        <is>
          <t>배합 확인</t>
        </is>
      </c>
      <c r="I1022" t="n">
        <v>5</v>
      </c>
      <c r="J1022" t="n">
        <v>4954</v>
      </c>
      <c r="K1022" t="n">
        <v>4911</v>
      </c>
      <c r="L1022" t="inlineStr">
        <is>
          <t>L-0809</t>
        </is>
      </c>
      <c r="M1022">
        <f>F1022-G1022</f>
        <v/>
      </c>
      <c r="N1022" s="2">
        <f>M1022/F1022</f>
        <v/>
      </c>
      <c r="O1022" s="2">
        <f>I1022*J1022/60/M1022</f>
        <v/>
      </c>
      <c r="P1022" s="2">
        <f>K1022/J1022</f>
        <v/>
      </c>
      <c r="Q1022" s="2">
        <f>N1022*O1022*P1022</f>
        <v/>
      </c>
    </row>
    <row r="1023">
      <c r="A1023" t="inlineStr">
        <is>
          <t>2026-08-12</t>
        </is>
      </c>
      <c r="B1023" t="inlineStr">
        <is>
          <t>야간</t>
        </is>
      </c>
      <c r="C1023" t="inlineStr">
        <is>
          <t>P1</t>
        </is>
      </c>
      <c r="D1023" t="inlineStr">
        <is>
          <t>원료혼합</t>
        </is>
      </c>
      <c r="E1023" t="inlineStr">
        <is>
          <t>MX-02</t>
        </is>
      </c>
      <c r="F1023" t="n">
        <v>480</v>
      </c>
      <c r="G1023" t="n">
        <v>21</v>
      </c>
      <c r="H1023" t="inlineStr">
        <is>
          <t>청소</t>
        </is>
      </c>
      <c r="I1023" t="n">
        <v>5</v>
      </c>
      <c r="J1023" t="n">
        <v>5049</v>
      </c>
      <c r="K1023" t="n">
        <v>5005</v>
      </c>
      <c r="L1023" t="inlineStr">
        <is>
          <t>L-0809</t>
        </is>
      </c>
      <c r="M1023">
        <f>F1023-G1023</f>
        <v/>
      </c>
      <c r="N1023" s="2">
        <f>M1023/F1023</f>
        <v/>
      </c>
      <c r="O1023" s="2">
        <f>I1023*J1023/60/M1023</f>
        <v/>
      </c>
      <c r="P1023" s="2">
        <f>K1023/J1023</f>
        <v/>
      </c>
      <c r="Q1023" s="2">
        <f>N1023*O1023*P1023</f>
        <v/>
      </c>
    </row>
    <row r="1024">
      <c r="A1024" t="inlineStr">
        <is>
          <t>2026-08-12</t>
        </is>
      </c>
      <c r="B1024" t="inlineStr">
        <is>
          <t>야간</t>
        </is>
      </c>
      <c r="C1024" t="inlineStr">
        <is>
          <t>P2</t>
        </is>
      </c>
      <c r="D1024" t="inlineStr">
        <is>
          <t>성형</t>
        </is>
      </c>
      <c r="E1024" t="inlineStr">
        <is>
          <t>PR-01</t>
        </is>
      </c>
      <c r="F1024" t="n">
        <v>480</v>
      </c>
      <c r="G1024" t="n">
        <v>33</v>
      </c>
      <c r="H1024" t="inlineStr">
        <is>
          <t>분말 공급 지연</t>
        </is>
      </c>
      <c r="I1024" t="n">
        <v>6</v>
      </c>
      <c r="J1024" t="n">
        <v>4163</v>
      </c>
      <c r="K1024" t="n">
        <v>4107</v>
      </c>
      <c r="L1024" t="inlineStr">
        <is>
          <t>L-0809</t>
        </is>
      </c>
      <c r="M1024">
        <f>F1024-G1024</f>
        <v/>
      </c>
      <c r="N1024" s="2">
        <f>M1024/F1024</f>
        <v/>
      </c>
      <c r="O1024" s="2">
        <f>I1024*J1024/60/M1024</f>
        <v/>
      </c>
      <c r="P1024" s="2">
        <f>K1024/J1024</f>
        <v/>
      </c>
      <c r="Q1024" s="2">
        <f>N1024*O1024*P1024</f>
        <v/>
      </c>
    </row>
    <row r="1025">
      <c r="A1025" t="inlineStr">
        <is>
          <t>2026-08-12</t>
        </is>
      </c>
      <c r="B1025" t="inlineStr">
        <is>
          <t>야간</t>
        </is>
      </c>
      <c r="C1025" t="inlineStr">
        <is>
          <t>P2</t>
        </is>
      </c>
      <c r="D1025" t="inlineStr">
        <is>
          <t>성형</t>
        </is>
      </c>
      <c r="E1025" t="inlineStr">
        <is>
          <t>PR-02</t>
        </is>
      </c>
      <c r="F1025" t="n">
        <v>480</v>
      </c>
      <c r="G1025" t="n">
        <v>17</v>
      </c>
      <c r="H1025" t="inlineStr">
        <is>
          <t>금형 교체</t>
        </is>
      </c>
      <c r="I1025" t="n">
        <v>6</v>
      </c>
      <c r="J1025" t="n">
        <v>3960</v>
      </c>
      <c r="K1025" t="n">
        <v>3906</v>
      </c>
      <c r="L1025" t="inlineStr">
        <is>
          <t>L-0809</t>
        </is>
      </c>
      <c r="M1025">
        <f>F1025-G1025</f>
        <v/>
      </c>
      <c r="N1025" s="2">
        <f>M1025/F1025</f>
        <v/>
      </c>
      <c r="O1025" s="2">
        <f>I1025*J1025/60/M1025</f>
        <v/>
      </c>
      <c r="P1025" s="2">
        <f>K1025/J1025</f>
        <v/>
      </c>
      <c r="Q1025" s="2">
        <f>N1025*O1025*P1025</f>
        <v/>
      </c>
    </row>
    <row r="1026">
      <c r="A1026" t="inlineStr">
        <is>
          <t>2026-08-12</t>
        </is>
      </c>
      <c r="B1026" t="inlineStr">
        <is>
          <t>야간</t>
        </is>
      </c>
      <c r="C1026" t="inlineStr">
        <is>
          <t>P3</t>
        </is>
      </c>
      <c r="D1026" t="inlineStr">
        <is>
          <t>소결</t>
        </is>
      </c>
      <c r="E1026" t="inlineStr">
        <is>
          <t>SF-01</t>
        </is>
      </c>
      <c r="F1026" t="n">
        <v>480</v>
      </c>
      <c r="G1026" t="n">
        <v>29</v>
      </c>
      <c r="H1026" t="inlineStr">
        <is>
          <t>장입 대기</t>
        </is>
      </c>
      <c r="I1026" t="n">
        <v>6.5</v>
      </c>
      <c r="J1026" t="n">
        <v>3695</v>
      </c>
      <c r="K1026" t="n">
        <v>3609</v>
      </c>
      <c r="L1026" t="inlineStr">
        <is>
          <t>L-0809</t>
        </is>
      </c>
      <c r="M1026">
        <f>F1026-G1026</f>
        <v/>
      </c>
      <c r="N1026" s="2">
        <f>M1026/F1026</f>
        <v/>
      </c>
      <c r="O1026" s="2">
        <f>I1026*J1026/60/M1026</f>
        <v/>
      </c>
      <c r="P1026" s="2">
        <f>K1026/J1026</f>
        <v/>
      </c>
      <c r="Q1026" s="2">
        <f>N1026*O1026*P1026</f>
        <v/>
      </c>
    </row>
    <row r="1027">
      <c r="A1027" t="inlineStr">
        <is>
          <t>2026-08-12</t>
        </is>
      </c>
      <c r="B1027" t="inlineStr">
        <is>
          <t>야간</t>
        </is>
      </c>
      <c r="C1027" t="inlineStr">
        <is>
          <t>P3</t>
        </is>
      </c>
      <c r="D1027" t="inlineStr">
        <is>
          <t>소결</t>
        </is>
      </c>
      <c r="E1027" t="inlineStr">
        <is>
          <t>SF-02</t>
        </is>
      </c>
      <c r="F1027" t="n">
        <v>480</v>
      </c>
      <c r="G1027" t="n">
        <v>70</v>
      </c>
      <c r="H1027" t="inlineStr">
        <is>
          <t>재가열</t>
        </is>
      </c>
      <c r="I1027" t="n">
        <v>6.5</v>
      </c>
      <c r="J1027" t="n">
        <v>3169</v>
      </c>
      <c r="K1027" t="n">
        <v>2954</v>
      </c>
      <c r="L1027" t="inlineStr">
        <is>
          <t>L-0809</t>
        </is>
      </c>
      <c r="M1027">
        <f>F1027-G1027</f>
        <v/>
      </c>
      <c r="N1027" s="2">
        <f>M1027/F1027</f>
        <v/>
      </c>
      <c r="O1027" s="2">
        <f>I1027*J1027/60/M1027</f>
        <v/>
      </c>
      <c r="P1027" s="2">
        <f>K1027/J1027</f>
        <v/>
      </c>
      <c r="Q1027" s="2">
        <f>N1027*O1027*P1027</f>
        <v/>
      </c>
    </row>
    <row r="1028">
      <c r="A1028" t="inlineStr">
        <is>
          <t>2026-08-12</t>
        </is>
      </c>
      <c r="B1028" t="inlineStr">
        <is>
          <t>야간</t>
        </is>
      </c>
      <c r="C1028" t="inlineStr">
        <is>
          <t>P4</t>
        </is>
      </c>
      <c r="D1028" t="inlineStr">
        <is>
          <t>연삭</t>
        </is>
      </c>
      <c r="E1028" t="inlineStr">
        <is>
          <t>GR-01</t>
        </is>
      </c>
      <c r="F1028" t="n">
        <v>480</v>
      </c>
      <c r="G1028" t="n">
        <v>28</v>
      </c>
      <c r="H1028" t="inlineStr">
        <is>
          <t>공구 교체</t>
        </is>
      </c>
      <c r="I1028" t="n">
        <v>6.2</v>
      </c>
      <c r="J1028" t="n">
        <v>4198</v>
      </c>
      <c r="K1028" t="n">
        <v>4147</v>
      </c>
      <c r="L1028" t="inlineStr">
        <is>
          <t>L-0809</t>
        </is>
      </c>
      <c r="M1028">
        <f>F1028-G1028</f>
        <v/>
      </c>
      <c r="N1028" s="2">
        <f>M1028/F1028</f>
        <v/>
      </c>
      <c r="O1028" s="2">
        <f>I1028*J1028/60/M1028</f>
        <v/>
      </c>
      <c r="P1028" s="2">
        <f>K1028/J1028</f>
        <v/>
      </c>
      <c r="Q1028" s="2">
        <f>N1028*O1028*P1028</f>
        <v/>
      </c>
    </row>
    <row r="1029">
      <c r="A1029" t="inlineStr">
        <is>
          <t>2026-08-12</t>
        </is>
      </c>
      <c r="B1029" t="inlineStr">
        <is>
          <t>야간</t>
        </is>
      </c>
      <c r="C1029" t="inlineStr">
        <is>
          <t>P4</t>
        </is>
      </c>
      <c r="D1029" t="inlineStr">
        <is>
          <t>연삭</t>
        </is>
      </c>
      <c r="E1029" t="inlineStr">
        <is>
          <t>GR-02</t>
        </is>
      </c>
      <c r="F1029" t="n">
        <v>480</v>
      </c>
      <c r="G1029" t="n">
        <v>67</v>
      </c>
      <c r="H1029" t="inlineStr">
        <is>
          <t>드레싱</t>
        </is>
      </c>
      <c r="I1029" t="n">
        <v>6.2</v>
      </c>
      <c r="J1029" t="n">
        <v>3700</v>
      </c>
      <c r="K1029" t="n">
        <v>3653</v>
      </c>
      <c r="L1029" t="inlineStr">
        <is>
          <t>L-0809</t>
        </is>
      </c>
      <c r="M1029">
        <f>F1029-G1029</f>
        <v/>
      </c>
      <c r="N1029" s="2">
        <f>M1029/F1029</f>
        <v/>
      </c>
      <c r="O1029" s="2">
        <f>I1029*J1029/60/M1029</f>
        <v/>
      </c>
      <c r="P1029" s="2">
        <f>K1029/J1029</f>
        <v/>
      </c>
      <c r="Q1029" s="2">
        <f>N1029*O1029*P1029</f>
        <v/>
      </c>
    </row>
    <row r="1030">
      <c r="A1030" t="inlineStr">
        <is>
          <t>2026-08-12</t>
        </is>
      </c>
      <c r="B1030" t="inlineStr">
        <is>
          <t>야간</t>
        </is>
      </c>
      <c r="C1030" t="inlineStr">
        <is>
          <t>P5</t>
        </is>
      </c>
      <c r="D1030" t="inlineStr">
        <is>
          <t>검사</t>
        </is>
      </c>
      <c r="E1030" t="inlineStr">
        <is>
          <t>IN-01</t>
        </is>
      </c>
      <c r="F1030" t="n">
        <v>480</v>
      </c>
      <c r="G1030" t="n">
        <v>45</v>
      </c>
      <c r="H1030" t="inlineStr">
        <is>
          <t>측정기 교정</t>
        </is>
      </c>
      <c r="I1030" t="n">
        <v>5.5</v>
      </c>
      <c r="J1030" t="n">
        <v>4328</v>
      </c>
      <c r="K1030" t="n">
        <v>4307</v>
      </c>
      <c r="L1030" t="inlineStr">
        <is>
          <t>L-0809</t>
        </is>
      </c>
      <c r="M1030">
        <f>F1030-G1030</f>
        <v/>
      </c>
      <c r="N1030" s="2">
        <f>M1030/F1030</f>
        <v/>
      </c>
      <c r="O1030" s="2">
        <f>I1030*J1030/60/M1030</f>
        <v/>
      </c>
      <c r="P1030" s="2">
        <f>K1030/J1030</f>
        <v/>
      </c>
      <c r="Q1030" s="2">
        <f>N1030*O1030*P1030</f>
        <v/>
      </c>
    </row>
    <row r="1031">
      <c r="A1031" t="inlineStr">
        <is>
          <t>2026-08-12</t>
        </is>
      </c>
      <c r="B1031" t="inlineStr">
        <is>
          <t>야간</t>
        </is>
      </c>
      <c r="C1031" t="inlineStr">
        <is>
          <t>P5</t>
        </is>
      </c>
      <c r="D1031" t="inlineStr">
        <is>
          <t>검사</t>
        </is>
      </c>
      <c r="E1031" t="inlineStr">
        <is>
          <t>IN-02</t>
        </is>
      </c>
      <c r="F1031" t="n">
        <v>480</v>
      </c>
      <c r="G1031" t="n">
        <v>41</v>
      </c>
      <c r="H1031" t="inlineStr">
        <is>
          <t>측정기 교정</t>
        </is>
      </c>
      <c r="I1031" t="n">
        <v>5.5</v>
      </c>
      <c r="J1031" t="n">
        <v>4686</v>
      </c>
      <c r="K1031" t="n">
        <v>4665</v>
      </c>
      <c r="L1031" t="inlineStr">
        <is>
          <t>L-0809</t>
        </is>
      </c>
      <c r="M1031">
        <f>F1031-G1031</f>
        <v/>
      </c>
      <c r="N1031" s="2">
        <f>M1031/F1031</f>
        <v/>
      </c>
      <c r="O1031" s="2">
        <f>I1031*J1031/60/M1031</f>
        <v/>
      </c>
      <c r="P1031" s="2">
        <f>K1031/J1031</f>
        <v/>
      </c>
      <c r="Q1031" s="2">
        <f>N1031*O1031*P1031</f>
        <v/>
      </c>
    </row>
    <row r="1032">
      <c r="A1032" t="inlineStr">
        <is>
          <t>2026-08-12</t>
        </is>
      </c>
      <c r="B1032" t="inlineStr">
        <is>
          <t>야간</t>
        </is>
      </c>
      <c r="C1032" t="inlineStr">
        <is>
          <t>P6</t>
        </is>
      </c>
      <c r="D1032" t="inlineStr">
        <is>
          <t>포장</t>
        </is>
      </c>
      <c r="E1032" t="inlineStr">
        <is>
          <t>PK-01</t>
        </is>
      </c>
      <c r="F1032" t="n">
        <v>480</v>
      </c>
      <c r="G1032" t="n">
        <v>9</v>
      </c>
      <c r="H1032" t="inlineStr">
        <is>
          <t>라벨 교체</t>
        </is>
      </c>
      <c r="I1032" t="n">
        <v>4.8</v>
      </c>
      <c r="J1032" t="n">
        <v>5607</v>
      </c>
      <c r="K1032" t="n">
        <v>5590</v>
      </c>
      <c r="L1032" t="inlineStr">
        <is>
          <t>L-0809</t>
        </is>
      </c>
      <c r="M1032">
        <f>F1032-G1032</f>
        <v/>
      </c>
      <c r="N1032" s="2">
        <f>M1032/F1032</f>
        <v/>
      </c>
      <c r="O1032" s="2">
        <f>I1032*J1032/60/M1032</f>
        <v/>
      </c>
      <c r="P1032" s="2">
        <f>K1032/J1032</f>
        <v/>
      </c>
      <c r="Q1032" s="2">
        <f>N1032*O1032*P1032</f>
        <v/>
      </c>
    </row>
    <row r="1033">
      <c r="A1033" t="inlineStr">
        <is>
          <t>2026-08-12</t>
        </is>
      </c>
      <c r="B1033" t="inlineStr">
        <is>
          <t>야간</t>
        </is>
      </c>
      <c r="C1033" t="inlineStr">
        <is>
          <t>P6</t>
        </is>
      </c>
      <c r="D1033" t="inlineStr">
        <is>
          <t>포장</t>
        </is>
      </c>
      <c r="E1033" t="inlineStr">
        <is>
          <t>PK-02</t>
        </is>
      </c>
      <c r="F1033" t="n">
        <v>480</v>
      </c>
      <c r="G1033" t="n">
        <v>38</v>
      </c>
      <c r="H1033" t="inlineStr">
        <is>
          <t>자재 대기</t>
        </is>
      </c>
      <c r="I1033" t="n">
        <v>4.8</v>
      </c>
      <c r="J1033" t="n">
        <v>5106</v>
      </c>
      <c r="K1033" t="n">
        <v>5091</v>
      </c>
      <c r="L1033" t="inlineStr">
        <is>
          <t>L-0809</t>
        </is>
      </c>
      <c r="M1033">
        <f>F1033-G1033</f>
        <v/>
      </c>
      <c r="N1033" s="2">
        <f>M1033/F1033</f>
        <v/>
      </c>
      <c r="O1033" s="2">
        <f>I1033*J1033/60/M1033</f>
        <v/>
      </c>
      <c r="P1033" s="2">
        <f>K1033/J1033</f>
        <v/>
      </c>
      <c r="Q1033" s="2">
        <f>N1033*O1033*P1033</f>
        <v/>
      </c>
    </row>
    <row r="1034">
      <c r="A1034" t="inlineStr">
        <is>
          <t>2026-08-13</t>
        </is>
      </c>
      <c r="B1034" t="inlineStr">
        <is>
          <t>주간</t>
        </is>
      </c>
      <c r="C1034" t="inlineStr">
        <is>
          <t>P1</t>
        </is>
      </c>
      <c r="D1034" t="inlineStr">
        <is>
          <t>원료혼합</t>
        </is>
      </c>
      <c r="E1034" t="inlineStr">
        <is>
          <t>MX-01</t>
        </is>
      </c>
      <c r="F1034" t="n">
        <v>480</v>
      </c>
      <c r="G1034" t="n">
        <v>35</v>
      </c>
      <c r="H1034" t="inlineStr">
        <is>
          <t>원료 대기</t>
        </is>
      </c>
      <c r="I1034" t="n">
        <v>5</v>
      </c>
      <c r="J1034" t="n">
        <v>4965</v>
      </c>
      <c r="K1034" t="n">
        <v>4931</v>
      </c>
      <c r="L1034" t="inlineStr">
        <is>
          <t>L-0809</t>
        </is>
      </c>
      <c r="M1034">
        <f>F1034-G1034</f>
        <v/>
      </c>
      <c r="N1034" s="2">
        <f>M1034/F1034</f>
        <v/>
      </c>
      <c r="O1034" s="2">
        <f>I1034*J1034/60/M1034</f>
        <v/>
      </c>
      <c r="P1034" s="2">
        <f>K1034/J1034</f>
        <v/>
      </c>
      <c r="Q1034" s="2">
        <f>N1034*O1034*P1034</f>
        <v/>
      </c>
    </row>
    <row r="1035">
      <c r="A1035" t="inlineStr">
        <is>
          <t>2026-08-13</t>
        </is>
      </c>
      <c r="B1035" t="inlineStr">
        <is>
          <t>주간</t>
        </is>
      </c>
      <c r="C1035" t="inlineStr">
        <is>
          <t>P1</t>
        </is>
      </c>
      <c r="D1035" t="inlineStr">
        <is>
          <t>원료혼합</t>
        </is>
      </c>
      <c r="E1035" t="inlineStr">
        <is>
          <t>MX-02</t>
        </is>
      </c>
      <c r="F1035" t="n">
        <v>480</v>
      </c>
      <c r="G1035" t="n">
        <v>41</v>
      </c>
      <c r="H1035" t="inlineStr">
        <is>
          <t>원료 대기</t>
        </is>
      </c>
      <c r="I1035" t="n">
        <v>5</v>
      </c>
      <c r="J1035" t="n">
        <v>4991</v>
      </c>
      <c r="K1035" t="n">
        <v>4965</v>
      </c>
      <c r="L1035" t="inlineStr">
        <is>
          <t>L-0809</t>
        </is>
      </c>
      <c r="M1035">
        <f>F1035-G1035</f>
        <v/>
      </c>
      <c r="N1035" s="2">
        <f>M1035/F1035</f>
        <v/>
      </c>
      <c r="O1035" s="2">
        <f>I1035*J1035/60/M1035</f>
        <v/>
      </c>
      <c r="P1035" s="2">
        <f>K1035/J1035</f>
        <v/>
      </c>
      <c r="Q1035" s="2">
        <f>N1035*O1035*P1035</f>
        <v/>
      </c>
    </row>
    <row r="1036">
      <c r="A1036" t="inlineStr">
        <is>
          <t>2026-08-13</t>
        </is>
      </c>
      <c r="B1036" t="inlineStr">
        <is>
          <t>주간</t>
        </is>
      </c>
      <c r="C1036" t="inlineStr">
        <is>
          <t>P2</t>
        </is>
      </c>
      <c r="D1036" t="inlineStr">
        <is>
          <t>성형</t>
        </is>
      </c>
      <c r="E1036" t="inlineStr">
        <is>
          <t>PR-01</t>
        </is>
      </c>
      <c r="F1036" t="n">
        <v>480</v>
      </c>
      <c r="G1036" t="n">
        <v>47</v>
      </c>
      <c r="H1036" t="inlineStr">
        <is>
          <t>분말 공급 지연</t>
        </is>
      </c>
      <c r="I1036" t="n">
        <v>6</v>
      </c>
      <c r="J1036" t="n">
        <v>4021</v>
      </c>
      <c r="K1036" t="n">
        <v>3956</v>
      </c>
      <c r="L1036" t="inlineStr">
        <is>
          <t>L-0809</t>
        </is>
      </c>
      <c r="M1036">
        <f>F1036-G1036</f>
        <v/>
      </c>
      <c r="N1036" s="2">
        <f>M1036/F1036</f>
        <v/>
      </c>
      <c r="O1036" s="2">
        <f>I1036*J1036/60/M1036</f>
        <v/>
      </c>
      <c r="P1036" s="2">
        <f>K1036/J1036</f>
        <v/>
      </c>
      <c r="Q1036" s="2">
        <f>N1036*O1036*P1036</f>
        <v/>
      </c>
    </row>
    <row r="1037">
      <c r="A1037" t="inlineStr">
        <is>
          <t>2026-08-13</t>
        </is>
      </c>
      <c r="B1037" t="inlineStr">
        <is>
          <t>주간</t>
        </is>
      </c>
      <c r="C1037" t="inlineStr">
        <is>
          <t>P2</t>
        </is>
      </c>
      <c r="D1037" t="inlineStr">
        <is>
          <t>성형</t>
        </is>
      </c>
      <c r="E1037" t="inlineStr">
        <is>
          <t>PR-02</t>
        </is>
      </c>
      <c r="F1037" t="n">
        <v>480</v>
      </c>
      <c r="G1037" t="n">
        <v>12</v>
      </c>
      <c r="H1037" t="inlineStr">
        <is>
          <t>압력 이상</t>
        </is>
      </c>
      <c r="I1037" t="n">
        <v>6</v>
      </c>
      <c r="J1037" t="n">
        <v>4225</v>
      </c>
      <c r="K1037" t="n">
        <v>4166</v>
      </c>
      <c r="L1037" t="inlineStr">
        <is>
          <t>L-0809</t>
        </is>
      </c>
      <c r="M1037">
        <f>F1037-G1037</f>
        <v/>
      </c>
      <c r="N1037" s="2">
        <f>M1037/F1037</f>
        <v/>
      </c>
      <c r="O1037" s="2">
        <f>I1037*J1037/60/M1037</f>
        <v/>
      </c>
      <c r="P1037" s="2">
        <f>K1037/J1037</f>
        <v/>
      </c>
      <c r="Q1037" s="2">
        <f>N1037*O1037*P1037</f>
        <v/>
      </c>
    </row>
    <row r="1038">
      <c r="A1038" t="inlineStr">
        <is>
          <t>2026-08-13</t>
        </is>
      </c>
      <c r="B1038" t="inlineStr">
        <is>
          <t>주간</t>
        </is>
      </c>
      <c r="C1038" t="inlineStr">
        <is>
          <t>P3</t>
        </is>
      </c>
      <c r="D1038" t="inlineStr">
        <is>
          <t>소결</t>
        </is>
      </c>
      <c r="E1038" t="inlineStr">
        <is>
          <t>SF-01</t>
        </is>
      </c>
      <c r="F1038" t="n">
        <v>480</v>
      </c>
      <c r="G1038" t="n">
        <v>29</v>
      </c>
      <c r="H1038" t="inlineStr">
        <is>
          <t>온도 이상 정지</t>
        </is>
      </c>
      <c r="I1038" t="n">
        <v>6.5</v>
      </c>
      <c r="J1038" t="n">
        <v>3911</v>
      </c>
      <c r="K1038" t="n">
        <v>3807</v>
      </c>
      <c r="L1038" t="inlineStr">
        <is>
          <t>L-0809</t>
        </is>
      </c>
      <c r="M1038">
        <f>F1038-G1038</f>
        <v/>
      </c>
      <c r="N1038" s="2">
        <f>M1038/F1038</f>
        <v/>
      </c>
      <c r="O1038" s="2">
        <f>I1038*J1038/60/M1038</f>
        <v/>
      </c>
      <c r="P1038" s="2">
        <f>K1038/J1038</f>
        <v/>
      </c>
      <c r="Q1038" s="2">
        <f>N1038*O1038*P1038</f>
        <v/>
      </c>
    </row>
    <row r="1039">
      <c r="A1039" t="inlineStr">
        <is>
          <t>2026-08-13</t>
        </is>
      </c>
      <c r="B1039" t="inlineStr">
        <is>
          <t>주간</t>
        </is>
      </c>
      <c r="C1039" t="inlineStr">
        <is>
          <t>P3</t>
        </is>
      </c>
      <c r="D1039" t="inlineStr">
        <is>
          <t>소결</t>
        </is>
      </c>
      <c r="E1039" t="inlineStr">
        <is>
          <t>SF-02</t>
        </is>
      </c>
      <c r="F1039" t="n">
        <v>480</v>
      </c>
      <c r="G1039" t="n">
        <v>97</v>
      </c>
      <c r="H1039" t="inlineStr">
        <is>
          <t>재가열</t>
        </is>
      </c>
      <c r="I1039" t="n">
        <v>6.5</v>
      </c>
      <c r="J1039" t="n">
        <v>3273</v>
      </c>
      <c r="K1039" t="n">
        <v>3093</v>
      </c>
      <c r="L1039" t="inlineStr">
        <is>
          <t>L-0809</t>
        </is>
      </c>
      <c r="M1039">
        <f>F1039-G1039</f>
        <v/>
      </c>
      <c r="N1039" s="2">
        <f>M1039/F1039</f>
        <v/>
      </c>
      <c r="O1039" s="2">
        <f>I1039*J1039/60/M1039</f>
        <v/>
      </c>
      <c r="P1039" s="2">
        <f>K1039/J1039</f>
        <v/>
      </c>
      <c r="Q1039" s="2">
        <f>N1039*O1039*P1039</f>
        <v/>
      </c>
    </row>
    <row r="1040">
      <c r="A1040" t="inlineStr">
        <is>
          <t>2026-08-13</t>
        </is>
      </c>
      <c r="B1040" t="inlineStr">
        <is>
          <t>주간</t>
        </is>
      </c>
      <c r="C1040" t="inlineStr">
        <is>
          <t>P4</t>
        </is>
      </c>
      <c r="D1040" t="inlineStr">
        <is>
          <t>연삭</t>
        </is>
      </c>
      <c r="E1040" t="inlineStr">
        <is>
          <t>GR-01</t>
        </is>
      </c>
      <c r="F1040" t="n">
        <v>480</v>
      </c>
      <c r="G1040" t="n">
        <v>54</v>
      </c>
      <c r="H1040" t="inlineStr">
        <is>
          <t>드레싱</t>
        </is>
      </c>
      <c r="I1040" t="n">
        <v>6.2</v>
      </c>
      <c r="J1040" t="n">
        <v>3985</v>
      </c>
      <c r="K1040" t="n">
        <v>3942</v>
      </c>
      <c r="L1040" t="inlineStr">
        <is>
          <t>L-0809</t>
        </is>
      </c>
      <c r="M1040">
        <f>F1040-G1040</f>
        <v/>
      </c>
      <c r="N1040" s="2">
        <f>M1040/F1040</f>
        <v/>
      </c>
      <c r="O1040" s="2">
        <f>I1040*J1040/60/M1040</f>
        <v/>
      </c>
      <c r="P1040" s="2">
        <f>K1040/J1040</f>
        <v/>
      </c>
      <c r="Q1040" s="2">
        <f>N1040*O1040*P1040</f>
        <v/>
      </c>
    </row>
    <row r="1041">
      <c r="A1041" t="inlineStr">
        <is>
          <t>2026-08-13</t>
        </is>
      </c>
      <c r="B1041" t="inlineStr">
        <is>
          <t>주간</t>
        </is>
      </c>
      <c r="C1041" t="inlineStr">
        <is>
          <t>P4</t>
        </is>
      </c>
      <c r="D1041" t="inlineStr">
        <is>
          <t>연삭</t>
        </is>
      </c>
      <c r="E1041" t="inlineStr">
        <is>
          <t>GR-02</t>
        </is>
      </c>
      <c r="F1041" t="n">
        <v>480</v>
      </c>
      <c r="G1041" t="n">
        <v>51</v>
      </c>
      <c r="H1041" t="inlineStr">
        <is>
          <t>드레싱</t>
        </is>
      </c>
      <c r="I1041" t="n">
        <v>6.2</v>
      </c>
      <c r="J1041" t="n">
        <v>3969</v>
      </c>
      <c r="K1041" t="n">
        <v>3932</v>
      </c>
      <c r="L1041" t="inlineStr">
        <is>
          <t>L-0809</t>
        </is>
      </c>
      <c r="M1041">
        <f>F1041-G1041</f>
        <v/>
      </c>
      <c r="N1041" s="2">
        <f>M1041/F1041</f>
        <v/>
      </c>
      <c r="O1041" s="2">
        <f>I1041*J1041/60/M1041</f>
        <v/>
      </c>
      <c r="P1041" s="2">
        <f>K1041/J1041</f>
        <v/>
      </c>
      <c r="Q1041" s="2">
        <f>N1041*O1041*P1041</f>
        <v/>
      </c>
    </row>
    <row r="1042">
      <c r="A1042" t="inlineStr">
        <is>
          <t>2026-08-13</t>
        </is>
      </c>
      <c r="B1042" t="inlineStr">
        <is>
          <t>주간</t>
        </is>
      </c>
      <c r="C1042" t="inlineStr">
        <is>
          <t>P5</t>
        </is>
      </c>
      <c r="D1042" t="inlineStr">
        <is>
          <t>검사</t>
        </is>
      </c>
      <c r="E1042" t="inlineStr">
        <is>
          <t>IN-01</t>
        </is>
      </c>
      <c r="F1042" t="n">
        <v>480</v>
      </c>
      <c r="G1042" t="n">
        <v>23</v>
      </c>
      <c r="H1042" t="inlineStr">
        <is>
          <t>측정기 교정</t>
        </is>
      </c>
      <c r="I1042" t="n">
        <v>5.5</v>
      </c>
      <c r="J1042" t="n">
        <v>4444</v>
      </c>
      <c r="K1042" t="n">
        <v>4431</v>
      </c>
      <c r="L1042" t="inlineStr">
        <is>
          <t>L-0809</t>
        </is>
      </c>
      <c r="M1042">
        <f>F1042-G1042</f>
        <v/>
      </c>
      <c r="N1042" s="2">
        <f>M1042/F1042</f>
        <v/>
      </c>
      <c r="O1042" s="2">
        <f>I1042*J1042/60/M1042</f>
        <v/>
      </c>
      <c r="P1042" s="2">
        <f>K1042/J1042</f>
        <v/>
      </c>
      <c r="Q1042" s="2">
        <f>N1042*O1042*P1042</f>
        <v/>
      </c>
    </row>
    <row r="1043">
      <c r="A1043" t="inlineStr">
        <is>
          <t>2026-08-13</t>
        </is>
      </c>
      <c r="B1043" t="inlineStr">
        <is>
          <t>주간</t>
        </is>
      </c>
      <c r="C1043" t="inlineStr">
        <is>
          <t>P5</t>
        </is>
      </c>
      <c r="D1043" t="inlineStr">
        <is>
          <t>검사</t>
        </is>
      </c>
      <c r="E1043" t="inlineStr">
        <is>
          <t>IN-02</t>
        </is>
      </c>
      <c r="F1043" t="n">
        <v>480</v>
      </c>
      <c r="G1043" t="n">
        <v>29</v>
      </c>
      <c r="H1043" t="inlineStr">
        <is>
          <t>측정기 교정</t>
        </is>
      </c>
      <c r="I1043" t="n">
        <v>5.5</v>
      </c>
      <c r="J1043" t="n">
        <v>4526</v>
      </c>
      <c r="K1043" t="n">
        <v>4511</v>
      </c>
      <c r="L1043" t="inlineStr">
        <is>
          <t>L-0809</t>
        </is>
      </c>
      <c r="M1043">
        <f>F1043-G1043</f>
        <v/>
      </c>
      <c r="N1043" s="2">
        <f>M1043/F1043</f>
        <v/>
      </c>
      <c r="O1043" s="2">
        <f>I1043*J1043/60/M1043</f>
        <v/>
      </c>
      <c r="P1043" s="2">
        <f>K1043/J1043</f>
        <v/>
      </c>
      <c r="Q1043" s="2">
        <f>N1043*O1043*P1043</f>
        <v/>
      </c>
    </row>
    <row r="1044">
      <c r="A1044" t="inlineStr">
        <is>
          <t>2026-08-13</t>
        </is>
      </c>
      <c r="B1044" t="inlineStr">
        <is>
          <t>주간</t>
        </is>
      </c>
      <c r="C1044" t="inlineStr">
        <is>
          <t>P6</t>
        </is>
      </c>
      <c r="D1044" t="inlineStr">
        <is>
          <t>포장</t>
        </is>
      </c>
      <c r="E1044" t="inlineStr">
        <is>
          <t>PK-01</t>
        </is>
      </c>
      <c r="F1044" t="n">
        <v>480</v>
      </c>
      <c r="G1044" t="n">
        <v>9</v>
      </c>
      <c r="H1044" t="inlineStr">
        <is>
          <t>자재 대기</t>
        </is>
      </c>
      <c r="I1044" t="n">
        <v>4.8</v>
      </c>
      <c r="J1044" t="n">
        <v>5536</v>
      </c>
      <c r="K1044" t="n">
        <v>5527</v>
      </c>
      <c r="L1044" t="inlineStr">
        <is>
          <t>L-0809</t>
        </is>
      </c>
      <c r="M1044">
        <f>F1044-G1044</f>
        <v/>
      </c>
      <c r="N1044" s="2">
        <f>M1044/F1044</f>
        <v/>
      </c>
      <c r="O1044" s="2">
        <f>I1044*J1044/60/M1044</f>
        <v/>
      </c>
      <c r="P1044" s="2">
        <f>K1044/J1044</f>
        <v/>
      </c>
      <c r="Q1044" s="2">
        <f>N1044*O1044*P1044</f>
        <v/>
      </c>
    </row>
    <row r="1045">
      <c r="A1045" t="inlineStr">
        <is>
          <t>2026-08-13</t>
        </is>
      </c>
      <c r="B1045" t="inlineStr">
        <is>
          <t>주간</t>
        </is>
      </c>
      <c r="C1045" t="inlineStr">
        <is>
          <t>P6</t>
        </is>
      </c>
      <c r="D1045" t="inlineStr">
        <is>
          <t>포장</t>
        </is>
      </c>
      <c r="E1045" t="inlineStr">
        <is>
          <t>PK-02</t>
        </is>
      </c>
      <c r="F1045" t="n">
        <v>480</v>
      </c>
      <c r="G1045" t="n">
        <v>10</v>
      </c>
      <c r="H1045" t="inlineStr">
        <is>
          <t>라벨 교체</t>
        </is>
      </c>
      <c r="I1045" t="n">
        <v>4.8</v>
      </c>
      <c r="J1045" t="n">
        <v>5200</v>
      </c>
      <c r="K1045" t="n">
        <v>5189</v>
      </c>
      <c r="L1045" t="inlineStr">
        <is>
          <t>L-0809</t>
        </is>
      </c>
      <c r="M1045">
        <f>F1045-G1045</f>
        <v/>
      </c>
      <c r="N1045" s="2">
        <f>M1045/F1045</f>
        <v/>
      </c>
      <c r="O1045" s="2">
        <f>I1045*J1045/60/M1045</f>
        <v/>
      </c>
      <c r="P1045" s="2">
        <f>K1045/J1045</f>
        <v/>
      </c>
      <c r="Q1045" s="2">
        <f>N1045*O1045*P1045</f>
        <v/>
      </c>
    </row>
    <row r="1046">
      <c r="A1046" t="inlineStr">
        <is>
          <t>2026-08-13</t>
        </is>
      </c>
      <c r="B1046" t="inlineStr">
        <is>
          <t>야간</t>
        </is>
      </c>
      <c r="C1046" t="inlineStr">
        <is>
          <t>P1</t>
        </is>
      </c>
      <c r="D1046" t="inlineStr">
        <is>
          <t>원료혼합</t>
        </is>
      </c>
      <c r="E1046" t="inlineStr">
        <is>
          <t>MX-01</t>
        </is>
      </c>
      <c r="F1046" t="n">
        <v>480</v>
      </c>
      <c r="G1046" t="n">
        <v>10</v>
      </c>
      <c r="H1046" t="inlineStr">
        <is>
          <t>청소</t>
        </is>
      </c>
      <c r="I1046" t="n">
        <v>5</v>
      </c>
      <c r="J1046" t="n">
        <v>5158</v>
      </c>
      <c r="K1046" t="n">
        <v>5125</v>
      </c>
      <c r="L1046" t="inlineStr">
        <is>
          <t>L-0809</t>
        </is>
      </c>
      <c r="M1046">
        <f>F1046-G1046</f>
        <v/>
      </c>
      <c r="N1046" s="2">
        <f>M1046/F1046</f>
        <v/>
      </c>
      <c r="O1046" s="2">
        <f>I1046*J1046/60/M1046</f>
        <v/>
      </c>
      <c r="P1046" s="2">
        <f>K1046/J1046</f>
        <v/>
      </c>
      <c r="Q1046" s="2">
        <f>N1046*O1046*P1046</f>
        <v/>
      </c>
    </row>
    <row r="1047">
      <c r="A1047" t="inlineStr">
        <is>
          <t>2026-08-13</t>
        </is>
      </c>
      <c r="B1047" t="inlineStr">
        <is>
          <t>야간</t>
        </is>
      </c>
      <c r="C1047" t="inlineStr">
        <is>
          <t>P1</t>
        </is>
      </c>
      <c r="D1047" t="inlineStr">
        <is>
          <t>원료혼합</t>
        </is>
      </c>
      <c r="E1047" t="inlineStr">
        <is>
          <t>MX-02</t>
        </is>
      </c>
      <c r="F1047" t="n">
        <v>480</v>
      </c>
      <c r="G1047" t="n">
        <v>26</v>
      </c>
      <c r="H1047" t="inlineStr">
        <is>
          <t>원료 대기</t>
        </is>
      </c>
      <c r="I1047" t="n">
        <v>5</v>
      </c>
      <c r="J1047" t="n">
        <v>5121</v>
      </c>
      <c r="K1047" t="n">
        <v>5092</v>
      </c>
      <c r="L1047" t="inlineStr">
        <is>
          <t>L-0809</t>
        </is>
      </c>
      <c r="M1047">
        <f>F1047-G1047</f>
        <v/>
      </c>
      <c r="N1047" s="2">
        <f>M1047/F1047</f>
        <v/>
      </c>
      <c r="O1047" s="2">
        <f>I1047*J1047/60/M1047</f>
        <v/>
      </c>
      <c r="P1047" s="2">
        <f>K1047/J1047</f>
        <v/>
      </c>
      <c r="Q1047" s="2">
        <f>N1047*O1047*P1047</f>
        <v/>
      </c>
    </row>
    <row r="1048">
      <c r="A1048" t="inlineStr">
        <is>
          <t>2026-08-13</t>
        </is>
      </c>
      <c r="B1048" t="inlineStr">
        <is>
          <t>야간</t>
        </is>
      </c>
      <c r="C1048" t="inlineStr">
        <is>
          <t>P2</t>
        </is>
      </c>
      <c r="D1048" t="inlineStr">
        <is>
          <t>성형</t>
        </is>
      </c>
      <c r="E1048" t="inlineStr">
        <is>
          <t>PR-01</t>
        </is>
      </c>
      <c r="F1048" t="n">
        <v>480</v>
      </c>
      <c r="G1048" t="n">
        <v>34</v>
      </c>
      <c r="H1048" t="inlineStr">
        <is>
          <t>압력 이상</t>
        </is>
      </c>
      <c r="I1048" t="n">
        <v>6</v>
      </c>
      <c r="J1048" t="n">
        <v>3975</v>
      </c>
      <c r="K1048" t="n">
        <v>3917</v>
      </c>
      <c r="L1048" t="inlineStr">
        <is>
          <t>L-0809</t>
        </is>
      </c>
      <c r="M1048">
        <f>F1048-G1048</f>
        <v/>
      </c>
      <c r="N1048" s="2">
        <f>M1048/F1048</f>
        <v/>
      </c>
      <c r="O1048" s="2">
        <f>I1048*J1048/60/M1048</f>
        <v/>
      </c>
      <c r="P1048" s="2">
        <f>K1048/J1048</f>
        <v/>
      </c>
      <c r="Q1048" s="2">
        <f>N1048*O1048*P1048</f>
        <v/>
      </c>
    </row>
    <row r="1049">
      <c r="A1049" t="inlineStr">
        <is>
          <t>2026-08-13</t>
        </is>
      </c>
      <c r="B1049" t="inlineStr">
        <is>
          <t>야간</t>
        </is>
      </c>
      <c r="C1049" t="inlineStr">
        <is>
          <t>P2</t>
        </is>
      </c>
      <c r="D1049" t="inlineStr">
        <is>
          <t>성형</t>
        </is>
      </c>
      <c r="E1049" t="inlineStr">
        <is>
          <t>PR-02</t>
        </is>
      </c>
      <c r="F1049" t="n">
        <v>480</v>
      </c>
      <c r="G1049" t="n">
        <v>29</v>
      </c>
      <c r="H1049" t="inlineStr">
        <is>
          <t>금형 교체</t>
        </is>
      </c>
      <c r="I1049" t="n">
        <v>6</v>
      </c>
      <c r="J1049" t="n">
        <v>4126</v>
      </c>
      <c r="K1049" t="n">
        <v>4065</v>
      </c>
      <c r="L1049" t="inlineStr">
        <is>
          <t>L-0809</t>
        </is>
      </c>
      <c r="M1049">
        <f>F1049-G1049</f>
        <v/>
      </c>
      <c r="N1049" s="2">
        <f>M1049/F1049</f>
        <v/>
      </c>
      <c r="O1049" s="2">
        <f>I1049*J1049/60/M1049</f>
        <v/>
      </c>
      <c r="P1049" s="2">
        <f>K1049/J1049</f>
        <v/>
      </c>
      <c r="Q1049" s="2">
        <f>N1049*O1049*P1049</f>
        <v/>
      </c>
    </row>
    <row r="1050">
      <c r="A1050" t="inlineStr">
        <is>
          <t>2026-08-13</t>
        </is>
      </c>
      <c r="B1050" t="inlineStr">
        <is>
          <t>야간</t>
        </is>
      </c>
      <c r="C1050" t="inlineStr">
        <is>
          <t>P3</t>
        </is>
      </c>
      <c r="D1050" t="inlineStr">
        <is>
          <t>소결</t>
        </is>
      </c>
      <c r="E1050" t="inlineStr">
        <is>
          <t>SF-01</t>
        </is>
      </c>
      <c r="F1050" t="n">
        <v>480</v>
      </c>
      <c r="G1050" t="n">
        <v>43</v>
      </c>
      <c r="H1050" t="inlineStr">
        <is>
          <t>온도 이상 정지</t>
        </is>
      </c>
      <c r="I1050" t="n">
        <v>6.5</v>
      </c>
      <c r="J1050" t="n">
        <v>3861</v>
      </c>
      <c r="K1050" t="n">
        <v>3773</v>
      </c>
      <c r="L1050" t="inlineStr">
        <is>
          <t>L-0809</t>
        </is>
      </c>
      <c r="M1050">
        <f>F1050-G1050</f>
        <v/>
      </c>
      <c r="N1050" s="2">
        <f>M1050/F1050</f>
        <v/>
      </c>
      <c r="O1050" s="2">
        <f>I1050*J1050/60/M1050</f>
        <v/>
      </c>
      <c r="P1050" s="2">
        <f>K1050/J1050</f>
        <v/>
      </c>
      <c r="Q1050" s="2">
        <f>N1050*O1050*P1050</f>
        <v/>
      </c>
    </row>
    <row r="1051">
      <c r="A1051" t="inlineStr">
        <is>
          <t>2026-08-13</t>
        </is>
      </c>
      <c r="B1051" t="inlineStr">
        <is>
          <t>야간</t>
        </is>
      </c>
      <c r="C1051" t="inlineStr">
        <is>
          <t>P3</t>
        </is>
      </c>
      <c r="D1051" t="inlineStr">
        <is>
          <t>소결</t>
        </is>
      </c>
      <c r="E1051" t="inlineStr">
        <is>
          <t>SF-02</t>
        </is>
      </c>
      <c r="F1051" t="n">
        <v>480</v>
      </c>
      <c r="G1051" t="n">
        <v>89</v>
      </c>
      <c r="H1051" t="inlineStr">
        <is>
          <t>재가열</t>
        </is>
      </c>
      <c r="I1051" t="n">
        <v>6.5</v>
      </c>
      <c r="J1051" t="n">
        <v>3156</v>
      </c>
      <c r="K1051" t="n">
        <v>3031</v>
      </c>
      <c r="L1051" t="inlineStr">
        <is>
          <t>L-0809</t>
        </is>
      </c>
      <c r="M1051">
        <f>F1051-G1051</f>
        <v/>
      </c>
      <c r="N1051" s="2">
        <f>M1051/F1051</f>
        <v/>
      </c>
      <c r="O1051" s="2">
        <f>I1051*J1051/60/M1051</f>
        <v/>
      </c>
      <c r="P1051" s="2">
        <f>K1051/J1051</f>
        <v/>
      </c>
      <c r="Q1051" s="2">
        <f>N1051*O1051*P1051</f>
        <v/>
      </c>
    </row>
    <row r="1052">
      <c r="A1052" t="inlineStr">
        <is>
          <t>2026-08-13</t>
        </is>
      </c>
      <c r="B1052" t="inlineStr">
        <is>
          <t>야간</t>
        </is>
      </c>
      <c r="C1052" t="inlineStr">
        <is>
          <t>P4</t>
        </is>
      </c>
      <c r="D1052" t="inlineStr">
        <is>
          <t>연삭</t>
        </is>
      </c>
      <c r="E1052" t="inlineStr">
        <is>
          <t>GR-01</t>
        </is>
      </c>
      <c r="F1052" t="n">
        <v>480</v>
      </c>
      <c r="G1052" t="n">
        <v>83</v>
      </c>
      <c r="H1052" t="inlineStr">
        <is>
          <t>공구 교체</t>
        </is>
      </c>
      <c r="I1052" t="n">
        <v>6.2</v>
      </c>
      <c r="J1052" t="n">
        <v>3561</v>
      </c>
      <c r="K1052" t="n">
        <v>3521</v>
      </c>
      <c r="L1052" t="inlineStr">
        <is>
          <t>L-0809</t>
        </is>
      </c>
      <c r="M1052">
        <f>F1052-G1052</f>
        <v/>
      </c>
      <c r="N1052" s="2">
        <f>M1052/F1052</f>
        <v/>
      </c>
      <c r="O1052" s="2">
        <f>I1052*J1052/60/M1052</f>
        <v/>
      </c>
      <c r="P1052" s="2">
        <f>K1052/J1052</f>
        <v/>
      </c>
      <c r="Q1052" s="2">
        <f>N1052*O1052*P1052</f>
        <v/>
      </c>
    </row>
    <row r="1053">
      <c r="A1053" t="inlineStr">
        <is>
          <t>2026-08-13</t>
        </is>
      </c>
      <c r="B1053" t="inlineStr">
        <is>
          <t>야간</t>
        </is>
      </c>
      <c r="C1053" t="inlineStr">
        <is>
          <t>P4</t>
        </is>
      </c>
      <c r="D1053" t="inlineStr">
        <is>
          <t>연삭</t>
        </is>
      </c>
      <c r="E1053" t="inlineStr">
        <is>
          <t>GR-02</t>
        </is>
      </c>
      <c r="F1053" t="n">
        <v>480</v>
      </c>
      <c r="G1053" t="n">
        <v>78</v>
      </c>
      <c r="H1053" t="inlineStr">
        <is>
          <t>공구 교체</t>
        </is>
      </c>
      <c r="I1053" t="n">
        <v>6.2</v>
      </c>
      <c r="J1053" t="n">
        <v>3679</v>
      </c>
      <c r="K1053" t="n">
        <v>3644</v>
      </c>
      <c r="L1053" t="inlineStr">
        <is>
          <t>L-0809</t>
        </is>
      </c>
      <c r="M1053">
        <f>F1053-G1053</f>
        <v/>
      </c>
      <c r="N1053" s="2">
        <f>M1053/F1053</f>
        <v/>
      </c>
      <c r="O1053" s="2">
        <f>I1053*J1053/60/M1053</f>
        <v/>
      </c>
      <c r="P1053" s="2">
        <f>K1053/J1053</f>
        <v/>
      </c>
      <c r="Q1053" s="2">
        <f>N1053*O1053*P1053</f>
        <v/>
      </c>
    </row>
    <row r="1054">
      <c r="A1054" t="inlineStr">
        <is>
          <t>2026-08-13</t>
        </is>
      </c>
      <c r="B1054" t="inlineStr">
        <is>
          <t>야간</t>
        </is>
      </c>
      <c r="C1054" t="inlineStr">
        <is>
          <t>P5</t>
        </is>
      </c>
      <c r="D1054" t="inlineStr">
        <is>
          <t>검사</t>
        </is>
      </c>
      <c r="E1054" t="inlineStr">
        <is>
          <t>IN-01</t>
        </is>
      </c>
      <c r="F1054" t="n">
        <v>480</v>
      </c>
      <c r="G1054" t="n">
        <v>32</v>
      </c>
      <c r="H1054" t="inlineStr">
        <is>
          <t>샘플 재검</t>
        </is>
      </c>
      <c r="I1054" t="n">
        <v>5.5</v>
      </c>
      <c r="J1054" t="n">
        <v>4381</v>
      </c>
      <c r="K1054" t="n">
        <v>4360</v>
      </c>
      <c r="L1054" t="inlineStr">
        <is>
          <t>L-0809</t>
        </is>
      </c>
      <c r="M1054">
        <f>F1054-G1054</f>
        <v/>
      </c>
      <c r="N1054" s="2">
        <f>M1054/F1054</f>
        <v/>
      </c>
      <c r="O1054" s="2">
        <f>I1054*J1054/60/M1054</f>
        <v/>
      </c>
      <c r="P1054" s="2">
        <f>K1054/J1054</f>
        <v/>
      </c>
      <c r="Q1054" s="2">
        <f>N1054*O1054*P1054</f>
        <v/>
      </c>
    </row>
    <row r="1055">
      <c r="A1055" t="inlineStr">
        <is>
          <t>2026-08-13</t>
        </is>
      </c>
      <c r="B1055" t="inlineStr">
        <is>
          <t>야간</t>
        </is>
      </c>
      <c r="C1055" t="inlineStr">
        <is>
          <t>P5</t>
        </is>
      </c>
      <c r="D1055" t="inlineStr">
        <is>
          <t>검사</t>
        </is>
      </c>
      <c r="E1055" t="inlineStr">
        <is>
          <t>IN-02</t>
        </is>
      </c>
      <c r="F1055" t="n">
        <v>480</v>
      </c>
      <c r="G1055" t="n">
        <v>47</v>
      </c>
      <c r="H1055" t="inlineStr">
        <is>
          <t>샘플 재검</t>
        </is>
      </c>
      <c r="I1055" t="n">
        <v>5.5</v>
      </c>
      <c r="J1055" t="n">
        <v>4365</v>
      </c>
      <c r="K1055" t="n">
        <v>4350</v>
      </c>
      <c r="L1055" t="inlineStr">
        <is>
          <t>L-0809</t>
        </is>
      </c>
      <c r="M1055">
        <f>F1055-G1055</f>
        <v/>
      </c>
      <c r="N1055" s="2">
        <f>M1055/F1055</f>
        <v/>
      </c>
      <c r="O1055" s="2">
        <f>I1055*J1055/60/M1055</f>
        <v/>
      </c>
      <c r="P1055" s="2">
        <f>K1055/J1055</f>
        <v/>
      </c>
      <c r="Q1055" s="2">
        <f>N1055*O1055*P1055</f>
        <v/>
      </c>
    </row>
    <row r="1056">
      <c r="A1056" t="inlineStr">
        <is>
          <t>2026-08-13</t>
        </is>
      </c>
      <c r="B1056" t="inlineStr">
        <is>
          <t>야간</t>
        </is>
      </c>
      <c r="C1056" t="inlineStr">
        <is>
          <t>P6</t>
        </is>
      </c>
      <c r="D1056" t="inlineStr">
        <is>
          <t>포장</t>
        </is>
      </c>
      <c r="E1056" t="inlineStr">
        <is>
          <t>PK-01</t>
        </is>
      </c>
      <c r="F1056" t="n">
        <v>480</v>
      </c>
      <c r="G1056" t="n">
        <v>21</v>
      </c>
      <c r="H1056" t="inlineStr">
        <is>
          <t>라벨 교체</t>
        </is>
      </c>
      <c r="I1056" t="n">
        <v>4.8</v>
      </c>
      <c r="J1056" t="n">
        <v>5430</v>
      </c>
      <c r="K1056" t="n">
        <v>5414</v>
      </c>
      <c r="L1056" t="inlineStr">
        <is>
          <t>L-0809</t>
        </is>
      </c>
      <c r="M1056">
        <f>F1056-G1056</f>
        <v/>
      </c>
      <c r="N1056" s="2">
        <f>M1056/F1056</f>
        <v/>
      </c>
      <c r="O1056" s="2">
        <f>I1056*J1056/60/M1056</f>
        <v/>
      </c>
      <c r="P1056" s="2">
        <f>K1056/J1056</f>
        <v/>
      </c>
      <c r="Q1056" s="2">
        <f>N1056*O1056*P1056</f>
        <v/>
      </c>
    </row>
    <row r="1057">
      <c r="A1057" t="inlineStr">
        <is>
          <t>2026-08-13</t>
        </is>
      </c>
      <c r="B1057" t="inlineStr">
        <is>
          <t>야간</t>
        </is>
      </c>
      <c r="C1057" t="inlineStr">
        <is>
          <t>P6</t>
        </is>
      </c>
      <c r="D1057" t="inlineStr">
        <is>
          <t>포장</t>
        </is>
      </c>
      <c r="E1057" t="inlineStr">
        <is>
          <t>PK-02</t>
        </is>
      </c>
      <c r="F1057" t="n">
        <v>480</v>
      </c>
      <c r="G1057" t="n">
        <v>6</v>
      </c>
      <c r="H1057" t="inlineStr">
        <is>
          <t>라벨 교체</t>
        </is>
      </c>
      <c r="I1057" t="n">
        <v>4.8</v>
      </c>
      <c r="J1057" t="n">
        <v>5528</v>
      </c>
      <c r="K1057" t="n">
        <v>5514</v>
      </c>
      <c r="L1057" t="inlineStr">
        <is>
          <t>L-0809</t>
        </is>
      </c>
      <c r="M1057">
        <f>F1057-G1057</f>
        <v/>
      </c>
      <c r="N1057" s="2">
        <f>M1057/F1057</f>
        <v/>
      </c>
      <c r="O1057" s="2">
        <f>I1057*J1057/60/M1057</f>
        <v/>
      </c>
      <c r="P1057" s="2">
        <f>K1057/J1057</f>
        <v/>
      </c>
      <c r="Q1057" s="2">
        <f>N1057*O1057*P1057</f>
        <v/>
      </c>
    </row>
    <row r="1058">
      <c r="A1058" t="inlineStr">
        <is>
          <t>2026-08-14</t>
        </is>
      </c>
      <c r="B1058" t="inlineStr">
        <is>
          <t>주간</t>
        </is>
      </c>
      <c r="C1058" t="inlineStr">
        <is>
          <t>P1</t>
        </is>
      </c>
      <c r="D1058" t="inlineStr">
        <is>
          <t>원료혼합</t>
        </is>
      </c>
      <c r="E1058" t="inlineStr">
        <is>
          <t>MX-01</t>
        </is>
      </c>
      <c r="F1058" t="n">
        <v>480</v>
      </c>
      <c r="G1058" t="n">
        <v>22</v>
      </c>
      <c r="H1058" t="inlineStr">
        <is>
          <t>청소</t>
        </is>
      </c>
      <c r="I1058" t="n">
        <v>5</v>
      </c>
      <c r="J1058" t="n">
        <v>5149</v>
      </c>
      <c r="K1058" t="n">
        <v>5108</v>
      </c>
      <c r="L1058" t="inlineStr">
        <is>
          <t>L-0809</t>
        </is>
      </c>
      <c r="M1058">
        <f>F1058-G1058</f>
        <v/>
      </c>
      <c r="N1058" s="2">
        <f>M1058/F1058</f>
        <v/>
      </c>
      <c r="O1058" s="2">
        <f>I1058*J1058/60/M1058</f>
        <v/>
      </c>
      <c r="P1058" s="2">
        <f>K1058/J1058</f>
        <v/>
      </c>
      <c r="Q1058" s="2">
        <f>N1058*O1058*P1058</f>
        <v/>
      </c>
    </row>
    <row r="1059">
      <c r="A1059" t="inlineStr">
        <is>
          <t>2026-08-14</t>
        </is>
      </c>
      <c r="B1059" t="inlineStr">
        <is>
          <t>주간</t>
        </is>
      </c>
      <c r="C1059" t="inlineStr">
        <is>
          <t>P1</t>
        </is>
      </c>
      <c r="D1059" t="inlineStr">
        <is>
          <t>원료혼합</t>
        </is>
      </c>
      <c r="E1059" t="inlineStr">
        <is>
          <t>MX-02</t>
        </is>
      </c>
      <c r="F1059" t="n">
        <v>480</v>
      </c>
      <c r="G1059" t="n">
        <v>14</v>
      </c>
      <c r="H1059" t="inlineStr">
        <is>
          <t>원료 대기</t>
        </is>
      </c>
      <c r="I1059" t="n">
        <v>5</v>
      </c>
      <c r="J1059" t="n">
        <v>5249</v>
      </c>
      <c r="K1059" t="n">
        <v>5219</v>
      </c>
      <c r="L1059" t="inlineStr">
        <is>
          <t>L-0809</t>
        </is>
      </c>
      <c r="M1059">
        <f>F1059-G1059</f>
        <v/>
      </c>
      <c r="N1059" s="2">
        <f>M1059/F1059</f>
        <v/>
      </c>
      <c r="O1059" s="2">
        <f>I1059*J1059/60/M1059</f>
        <v/>
      </c>
      <c r="P1059" s="2">
        <f>K1059/J1059</f>
        <v/>
      </c>
      <c r="Q1059" s="2">
        <f>N1059*O1059*P1059</f>
        <v/>
      </c>
    </row>
    <row r="1060">
      <c r="A1060" t="inlineStr">
        <is>
          <t>2026-08-14</t>
        </is>
      </c>
      <c r="B1060" t="inlineStr">
        <is>
          <t>주간</t>
        </is>
      </c>
      <c r="C1060" t="inlineStr">
        <is>
          <t>P2</t>
        </is>
      </c>
      <c r="D1060" t="inlineStr">
        <is>
          <t>성형</t>
        </is>
      </c>
      <c r="E1060" t="inlineStr">
        <is>
          <t>PR-01</t>
        </is>
      </c>
      <c r="F1060" t="n">
        <v>480</v>
      </c>
      <c r="G1060" t="n">
        <v>24</v>
      </c>
      <c r="H1060" t="inlineStr">
        <is>
          <t>금형 교체</t>
        </is>
      </c>
      <c r="I1060" t="n">
        <v>6</v>
      </c>
      <c r="J1060" t="n">
        <v>4204</v>
      </c>
      <c r="K1060" t="n">
        <v>4132</v>
      </c>
      <c r="L1060" t="inlineStr">
        <is>
          <t>L-0809</t>
        </is>
      </c>
      <c r="M1060">
        <f>F1060-G1060</f>
        <v/>
      </c>
      <c r="N1060" s="2">
        <f>M1060/F1060</f>
        <v/>
      </c>
      <c r="O1060" s="2">
        <f>I1060*J1060/60/M1060</f>
        <v/>
      </c>
      <c r="P1060" s="2">
        <f>K1060/J1060</f>
        <v/>
      </c>
      <c r="Q1060" s="2">
        <f>N1060*O1060*P1060</f>
        <v/>
      </c>
    </row>
    <row r="1061">
      <c r="A1061" t="inlineStr">
        <is>
          <t>2026-08-14</t>
        </is>
      </c>
      <c r="B1061" t="inlineStr">
        <is>
          <t>주간</t>
        </is>
      </c>
      <c r="C1061" t="inlineStr">
        <is>
          <t>P2</t>
        </is>
      </c>
      <c r="D1061" t="inlineStr">
        <is>
          <t>성형</t>
        </is>
      </c>
      <c r="E1061" t="inlineStr">
        <is>
          <t>PR-02</t>
        </is>
      </c>
      <c r="F1061" t="n">
        <v>480</v>
      </c>
      <c r="G1061" t="n">
        <v>28</v>
      </c>
      <c r="H1061" t="inlineStr">
        <is>
          <t>금형 교체</t>
        </is>
      </c>
      <c r="I1061" t="n">
        <v>6</v>
      </c>
      <c r="J1061" t="n">
        <v>4246</v>
      </c>
      <c r="K1061" t="n">
        <v>4182</v>
      </c>
      <c r="L1061" t="inlineStr">
        <is>
          <t>L-0809</t>
        </is>
      </c>
      <c r="M1061">
        <f>F1061-G1061</f>
        <v/>
      </c>
      <c r="N1061" s="2">
        <f>M1061/F1061</f>
        <v/>
      </c>
      <c r="O1061" s="2">
        <f>I1061*J1061/60/M1061</f>
        <v/>
      </c>
      <c r="P1061" s="2">
        <f>K1061/J1061</f>
        <v/>
      </c>
      <c r="Q1061" s="2">
        <f>N1061*O1061*P1061</f>
        <v/>
      </c>
    </row>
    <row r="1062">
      <c r="A1062" t="inlineStr">
        <is>
          <t>2026-08-14</t>
        </is>
      </c>
      <c r="B1062" t="inlineStr">
        <is>
          <t>주간</t>
        </is>
      </c>
      <c r="C1062" t="inlineStr">
        <is>
          <t>P3</t>
        </is>
      </c>
      <c r="D1062" t="inlineStr">
        <is>
          <t>소결</t>
        </is>
      </c>
      <c r="E1062" t="inlineStr">
        <is>
          <t>SF-01</t>
        </is>
      </c>
      <c r="F1062" t="n">
        <v>480</v>
      </c>
      <c r="G1062" t="n">
        <v>68</v>
      </c>
      <c r="H1062" t="inlineStr">
        <is>
          <t>승온 대기</t>
        </is>
      </c>
      <c r="I1062" t="n">
        <v>6.5</v>
      </c>
      <c r="J1062" t="n">
        <v>3606</v>
      </c>
      <c r="K1062" t="n">
        <v>3501</v>
      </c>
      <c r="L1062" t="inlineStr">
        <is>
          <t>L-0809</t>
        </is>
      </c>
      <c r="M1062">
        <f>F1062-G1062</f>
        <v/>
      </c>
      <c r="N1062" s="2">
        <f>M1062/F1062</f>
        <v/>
      </c>
      <c r="O1062" s="2">
        <f>I1062*J1062/60/M1062</f>
        <v/>
      </c>
      <c r="P1062" s="2">
        <f>K1062/J1062</f>
        <v/>
      </c>
      <c r="Q1062" s="2">
        <f>N1062*O1062*P1062</f>
        <v/>
      </c>
    </row>
    <row r="1063">
      <c r="A1063" t="inlineStr">
        <is>
          <t>2026-08-14</t>
        </is>
      </c>
      <c r="B1063" t="inlineStr">
        <is>
          <t>주간</t>
        </is>
      </c>
      <c r="C1063" t="inlineStr">
        <is>
          <t>P3</t>
        </is>
      </c>
      <c r="D1063" t="inlineStr">
        <is>
          <t>소결</t>
        </is>
      </c>
      <c r="E1063" t="inlineStr">
        <is>
          <t>SF-02</t>
        </is>
      </c>
      <c r="F1063" t="n">
        <v>480</v>
      </c>
      <c r="G1063" t="n">
        <v>89</v>
      </c>
      <c r="H1063" t="inlineStr">
        <is>
          <t>재가열</t>
        </is>
      </c>
      <c r="I1063" t="n">
        <v>6.5</v>
      </c>
      <c r="J1063" t="n">
        <v>3206</v>
      </c>
      <c r="K1063" t="n">
        <v>2981</v>
      </c>
      <c r="L1063" t="inlineStr">
        <is>
          <t>L-0809</t>
        </is>
      </c>
      <c r="M1063">
        <f>F1063-G1063</f>
        <v/>
      </c>
      <c r="N1063" s="2">
        <f>M1063/F1063</f>
        <v/>
      </c>
      <c r="O1063" s="2">
        <f>I1063*J1063/60/M1063</f>
        <v/>
      </c>
      <c r="P1063" s="2">
        <f>K1063/J1063</f>
        <v/>
      </c>
      <c r="Q1063" s="2">
        <f>N1063*O1063*P1063</f>
        <v/>
      </c>
    </row>
    <row r="1064">
      <c r="A1064" t="inlineStr">
        <is>
          <t>2026-08-14</t>
        </is>
      </c>
      <c r="B1064" t="inlineStr">
        <is>
          <t>주간</t>
        </is>
      </c>
      <c r="C1064" t="inlineStr">
        <is>
          <t>P4</t>
        </is>
      </c>
      <c r="D1064" t="inlineStr">
        <is>
          <t>연삭</t>
        </is>
      </c>
      <c r="E1064" t="inlineStr">
        <is>
          <t>GR-01</t>
        </is>
      </c>
      <c r="F1064" t="n">
        <v>480</v>
      </c>
      <c r="G1064" t="n">
        <v>78</v>
      </c>
      <c r="H1064" t="inlineStr">
        <is>
          <t>공구 교체</t>
        </is>
      </c>
      <c r="I1064" t="n">
        <v>6.2</v>
      </c>
      <c r="J1064" t="n">
        <v>3728</v>
      </c>
      <c r="K1064" t="n">
        <v>3688</v>
      </c>
      <c r="L1064" t="inlineStr">
        <is>
          <t>L-0809</t>
        </is>
      </c>
      <c r="M1064">
        <f>F1064-G1064</f>
        <v/>
      </c>
      <c r="N1064" s="2">
        <f>M1064/F1064</f>
        <v/>
      </c>
      <c r="O1064" s="2">
        <f>I1064*J1064/60/M1064</f>
        <v/>
      </c>
      <c r="P1064" s="2">
        <f>K1064/J1064</f>
        <v/>
      </c>
      <c r="Q1064" s="2">
        <f>N1064*O1064*P1064</f>
        <v/>
      </c>
    </row>
    <row r="1065">
      <c r="A1065" t="inlineStr">
        <is>
          <t>2026-08-14</t>
        </is>
      </c>
      <c r="B1065" t="inlineStr">
        <is>
          <t>주간</t>
        </is>
      </c>
      <c r="C1065" t="inlineStr">
        <is>
          <t>P4</t>
        </is>
      </c>
      <c r="D1065" t="inlineStr">
        <is>
          <t>연삭</t>
        </is>
      </c>
      <c r="E1065" t="inlineStr">
        <is>
          <t>GR-02</t>
        </is>
      </c>
      <c r="F1065" t="n">
        <v>480</v>
      </c>
      <c r="G1065" t="n">
        <v>45</v>
      </c>
      <c r="H1065" t="inlineStr">
        <is>
          <t>공구 교체</t>
        </is>
      </c>
      <c r="I1065" t="n">
        <v>6.2</v>
      </c>
      <c r="J1065" t="n">
        <v>3946</v>
      </c>
      <c r="K1065" t="n">
        <v>3906</v>
      </c>
      <c r="L1065" t="inlineStr">
        <is>
          <t>L-0809</t>
        </is>
      </c>
      <c r="M1065">
        <f>F1065-G1065</f>
        <v/>
      </c>
      <c r="N1065" s="2">
        <f>M1065/F1065</f>
        <v/>
      </c>
      <c r="O1065" s="2">
        <f>I1065*J1065/60/M1065</f>
        <v/>
      </c>
      <c r="P1065" s="2">
        <f>K1065/J1065</f>
        <v/>
      </c>
      <c r="Q1065" s="2">
        <f>N1065*O1065*P1065</f>
        <v/>
      </c>
    </row>
    <row r="1066">
      <c r="A1066" t="inlineStr">
        <is>
          <t>2026-08-14</t>
        </is>
      </c>
      <c r="B1066" t="inlineStr">
        <is>
          <t>주간</t>
        </is>
      </c>
      <c r="C1066" t="inlineStr">
        <is>
          <t>P5</t>
        </is>
      </c>
      <c r="D1066" t="inlineStr">
        <is>
          <t>검사</t>
        </is>
      </c>
      <c r="E1066" t="inlineStr">
        <is>
          <t>IN-01</t>
        </is>
      </c>
      <c r="F1066" t="n">
        <v>480</v>
      </c>
      <c r="G1066" t="n">
        <v>2</v>
      </c>
      <c r="H1066" t="inlineStr">
        <is>
          <t>샘플 재검</t>
        </is>
      </c>
      <c r="I1066" t="n">
        <v>5.5</v>
      </c>
      <c r="J1066" t="n">
        <v>4827</v>
      </c>
      <c r="K1066" t="n">
        <v>4816</v>
      </c>
      <c r="L1066" t="inlineStr">
        <is>
          <t>L-0809</t>
        </is>
      </c>
      <c r="M1066">
        <f>F1066-G1066</f>
        <v/>
      </c>
      <c r="N1066" s="2">
        <f>M1066/F1066</f>
        <v/>
      </c>
      <c r="O1066" s="2">
        <f>I1066*J1066/60/M1066</f>
        <v/>
      </c>
      <c r="P1066" s="2">
        <f>K1066/J1066</f>
        <v/>
      </c>
      <c r="Q1066" s="2">
        <f>N1066*O1066*P1066</f>
        <v/>
      </c>
    </row>
    <row r="1067">
      <c r="A1067" t="inlineStr">
        <is>
          <t>2026-08-14</t>
        </is>
      </c>
      <c r="B1067" t="inlineStr">
        <is>
          <t>주간</t>
        </is>
      </c>
      <c r="C1067" t="inlineStr">
        <is>
          <t>P5</t>
        </is>
      </c>
      <c r="D1067" t="inlineStr">
        <is>
          <t>검사</t>
        </is>
      </c>
      <c r="E1067" t="inlineStr">
        <is>
          <t>IN-02</t>
        </is>
      </c>
      <c r="F1067" t="n">
        <v>480</v>
      </c>
      <c r="G1067" t="n">
        <v>14</v>
      </c>
      <c r="H1067" t="inlineStr">
        <is>
          <t>측정기 교정</t>
        </is>
      </c>
      <c r="I1067" t="n">
        <v>5.5</v>
      </c>
      <c r="J1067" t="n">
        <v>4885</v>
      </c>
      <c r="K1067" t="n">
        <v>4868</v>
      </c>
      <c r="L1067" t="inlineStr">
        <is>
          <t>L-0809</t>
        </is>
      </c>
      <c r="M1067">
        <f>F1067-G1067</f>
        <v/>
      </c>
      <c r="N1067" s="2">
        <f>M1067/F1067</f>
        <v/>
      </c>
      <c r="O1067" s="2">
        <f>I1067*J1067/60/M1067</f>
        <v/>
      </c>
      <c r="P1067" s="2">
        <f>K1067/J1067</f>
        <v/>
      </c>
      <c r="Q1067" s="2">
        <f>N1067*O1067*P1067</f>
        <v/>
      </c>
    </row>
    <row r="1068">
      <c r="A1068" t="inlineStr">
        <is>
          <t>2026-08-14</t>
        </is>
      </c>
      <c r="B1068" t="inlineStr">
        <is>
          <t>주간</t>
        </is>
      </c>
      <c r="C1068" t="inlineStr">
        <is>
          <t>P6</t>
        </is>
      </c>
      <c r="D1068" t="inlineStr">
        <is>
          <t>포장</t>
        </is>
      </c>
      <c r="E1068" t="inlineStr">
        <is>
          <t>PK-01</t>
        </is>
      </c>
      <c r="F1068" t="n">
        <v>480</v>
      </c>
      <c r="G1068" t="n">
        <v>18</v>
      </c>
      <c r="H1068" t="inlineStr">
        <is>
          <t>자재 대기</t>
        </is>
      </c>
      <c r="I1068" t="n">
        <v>4.8</v>
      </c>
      <c r="J1068" t="n">
        <v>5478</v>
      </c>
      <c r="K1068" t="n">
        <v>5468</v>
      </c>
      <c r="L1068" t="inlineStr">
        <is>
          <t>L-0809</t>
        </is>
      </c>
      <c r="M1068">
        <f>F1068-G1068</f>
        <v/>
      </c>
      <c r="N1068" s="2">
        <f>M1068/F1068</f>
        <v/>
      </c>
      <c r="O1068" s="2">
        <f>I1068*J1068/60/M1068</f>
        <v/>
      </c>
      <c r="P1068" s="2">
        <f>K1068/J1068</f>
        <v/>
      </c>
      <c r="Q1068" s="2">
        <f>N1068*O1068*P1068</f>
        <v/>
      </c>
    </row>
    <row r="1069">
      <c r="A1069" t="inlineStr">
        <is>
          <t>2026-08-14</t>
        </is>
      </c>
      <c r="B1069" t="inlineStr">
        <is>
          <t>주간</t>
        </is>
      </c>
      <c r="C1069" t="inlineStr">
        <is>
          <t>P6</t>
        </is>
      </c>
      <c r="D1069" t="inlineStr">
        <is>
          <t>포장</t>
        </is>
      </c>
      <c r="E1069" t="inlineStr">
        <is>
          <t>PK-02</t>
        </is>
      </c>
      <c r="F1069" t="n">
        <v>480</v>
      </c>
      <c r="G1069" t="n">
        <v>18</v>
      </c>
      <c r="H1069" t="inlineStr">
        <is>
          <t>자재 대기</t>
        </is>
      </c>
      <c r="I1069" t="n">
        <v>4.8</v>
      </c>
      <c r="J1069" t="n">
        <v>5466</v>
      </c>
      <c r="K1069" t="n">
        <v>5453</v>
      </c>
      <c r="L1069" t="inlineStr">
        <is>
          <t>L-0809</t>
        </is>
      </c>
      <c r="M1069">
        <f>F1069-G1069</f>
        <v/>
      </c>
      <c r="N1069" s="2">
        <f>M1069/F1069</f>
        <v/>
      </c>
      <c r="O1069" s="2">
        <f>I1069*J1069/60/M1069</f>
        <v/>
      </c>
      <c r="P1069" s="2">
        <f>K1069/J1069</f>
        <v/>
      </c>
      <c r="Q1069" s="2">
        <f>N1069*O1069*P1069</f>
        <v/>
      </c>
    </row>
    <row r="1070">
      <c r="A1070" t="inlineStr">
        <is>
          <t>2026-08-14</t>
        </is>
      </c>
      <c r="B1070" t="inlineStr">
        <is>
          <t>야간</t>
        </is>
      </c>
      <c r="C1070" t="inlineStr">
        <is>
          <t>P1</t>
        </is>
      </c>
      <c r="D1070" t="inlineStr">
        <is>
          <t>원료혼합</t>
        </is>
      </c>
      <c r="E1070" t="inlineStr">
        <is>
          <t>MX-01</t>
        </is>
      </c>
      <c r="F1070" t="n">
        <v>480</v>
      </c>
      <c r="G1070" t="n">
        <v>33</v>
      </c>
      <c r="H1070" t="inlineStr">
        <is>
          <t>청소</t>
        </is>
      </c>
      <c r="I1070" t="n">
        <v>5</v>
      </c>
      <c r="J1070" t="n">
        <v>5016</v>
      </c>
      <c r="K1070" t="n">
        <v>4986</v>
      </c>
      <c r="L1070" t="inlineStr">
        <is>
          <t>L-0809</t>
        </is>
      </c>
      <c r="M1070">
        <f>F1070-G1070</f>
        <v/>
      </c>
      <c r="N1070" s="2">
        <f>M1070/F1070</f>
        <v/>
      </c>
      <c r="O1070" s="2">
        <f>I1070*J1070/60/M1070</f>
        <v/>
      </c>
      <c r="P1070" s="2">
        <f>K1070/J1070</f>
        <v/>
      </c>
      <c r="Q1070" s="2">
        <f>N1070*O1070*P1070</f>
        <v/>
      </c>
    </row>
    <row r="1071">
      <c r="A1071" t="inlineStr">
        <is>
          <t>2026-08-14</t>
        </is>
      </c>
      <c r="B1071" t="inlineStr">
        <is>
          <t>야간</t>
        </is>
      </c>
      <c r="C1071" t="inlineStr">
        <is>
          <t>P1</t>
        </is>
      </c>
      <c r="D1071" t="inlineStr">
        <is>
          <t>원료혼합</t>
        </is>
      </c>
      <c r="E1071" t="inlineStr">
        <is>
          <t>MX-02</t>
        </is>
      </c>
      <c r="F1071" t="n">
        <v>480</v>
      </c>
      <c r="G1071" t="n">
        <v>30</v>
      </c>
      <c r="H1071" t="inlineStr">
        <is>
          <t>배합 확인</t>
        </is>
      </c>
      <c r="I1071" t="n">
        <v>5</v>
      </c>
      <c r="J1071" t="n">
        <v>4957</v>
      </c>
      <c r="K1071" t="n">
        <v>4921</v>
      </c>
      <c r="L1071" t="inlineStr">
        <is>
          <t>L-0809</t>
        </is>
      </c>
      <c r="M1071">
        <f>F1071-G1071</f>
        <v/>
      </c>
      <c r="N1071" s="2">
        <f>M1071/F1071</f>
        <v/>
      </c>
      <c r="O1071" s="2">
        <f>I1071*J1071/60/M1071</f>
        <v/>
      </c>
      <c r="P1071" s="2">
        <f>K1071/J1071</f>
        <v/>
      </c>
      <c r="Q1071" s="2">
        <f>N1071*O1071*P1071</f>
        <v/>
      </c>
    </row>
    <row r="1072">
      <c r="A1072" t="inlineStr">
        <is>
          <t>2026-08-14</t>
        </is>
      </c>
      <c r="B1072" t="inlineStr">
        <is>
          <t>야간</t>
        </is>
      </c>
      <c r="C1072" t="inlineStr">
        <is>
          <t>P2</t>
        </is>
      </c>
      <c r="D1072" t="inlineStr">
        <is>
          <t>성형</t>
        </is>
      </c>
      <c r="E1072" t="inlineStr">
        <is>
          <t>PR-01</t>
        </is>
      </c>
      <c r="F1072" t="n">
        <v>480</v>
      </c>
      <c r="G1072" t="n">
        <v>8</v>
      </c>
      <c r="H1072" t="inlineStr">
        <is>
          <t>압력 이상</t>
        </is>
      </c>
      <c r="I1072" t="n">
        <v>6</v>
      </c>
      <c r="J1072" t="n">
        <v>4612</v>
      </c>
      <c r="K1072" t="n">
        <v>4545</v>
      </c>
      <c r="L1072" t="inlineStr">
        <is>
          <t>L-0809</t>
        </is>
      </c>
      <c r="M1072">
        <f>F1072-G1072</f>
        <v/>
      </c>
      <c r="N1072" s="2">
        <f>M1072/F1072</f>
        <v/>
      </c>
      <c r="O1072" s="2">
        <f>I1072*J1072/60/M1072</f>
        <v/>
      </c>
      <c r="P1072" s="2">
        <f>K1072/J1072</f>
        <v/>
      </c>
      <c r="Q1072" s="2">
        <f>N1072*O1072*P1072</f>
        <v/>
      </c>
    </row>
    <row r="1073">
      <c r="A1073" t="inlineStr">
        <is>
          <t>2026-08-14</t>
        </is>
      </c>
      <c r="B1073" t="inlineStr">
        <is>
          <t>야간</t>
        </is>
      </c>
      <c r="C1073" t="inlineStr">
        <is>
          <t>P2</t>
        </is>
      </c>
      <c r="D1073" t="inlineStr">
        <is>
          <t>성형</t>
        </is>
      </c>
      <c r="E1073" t="inlineStr">
        <is>
          <t>PR-02</t>
        </is>
      </c>
      <c r="F1073" t="n">
        <v>480</v>
      </c>
      <c r="G1073" t="n">
        <v>43</v>
      </c>
      <c r="H1073" t="inlineStr">
        <is>
          <t>분말 공급 지연</t>
        </is>
      </c>
      <c r="I1073" t="n">
        <v>6</v>
      </c>
      <c r="J1073" t="n">
        <v>3988</v>
      </c>
      <c r="K1073" t="n">
        <v>3933</v>
      </c>
      <c r="L1073" t="inlineStr">
        <is>
          <t>L-0809</t>
        </is>
      </c>
      <c r="M1073">
        <f>F1073-G1073</f>
        <v/>
      </c>
      <c r="N1073" s="2">
        <f>M1073/F1073</f>
        <v/>
      </c>
      <c r="O1073" s="2">
        <f>I1073*J1073/60/M1073</f>
        <v/>
      </c>
      <c r="P1073" s="2">
        <f>K1073/J1073</f>
        <v/>
      </c>
      <c r="Q1073" s="2">
        <f>N1073*O1073*P1073</f>
        <v/>
      </c>
    </row>
    <row r="1074">
      <c r="A1074" t="inlineStr">
        <is>
          <t>2026-08-14</t>
        </is>
      </c>
      <c r="B1074" t="inlineStr">
        <is>
          <t>야간</t>
        </is>
      </c>
      <c r="C1074" t="inlineStr">
        <is>
          <t>P3</t>
        </is>
      </c>
      <c r="D1074" t="inlineStr">
        <is>
          <t>소결</t>
        </is>
      </c>
      <c r="E1074" t="inlineStr">
        <is>
          <t>SF-01</t>
        </is>
      </c>
      <c r="F1074" t="n">
        <v>480</v>
      </c>
      <c r="G1074" t="n">
        <v>31</v>
      </c>
      <c r="H1074" t="inlineStr">
        <is>
          <t>온도 이상 정지</t>
        </is>
      </c>
      <c r="I1074" t="n">
        <v>6.5</v>
      </c>
      <c r="J1074" t="n">
        <v>3908</v>
      </c>
      <c r="K1074" t="n">
        <v>3797</v>
      </c>
      <c r="L1074" t="inlineStr">
        <is>
          <t>L-0809</t>
        </is>
      </c>
      <c r="M1074">
        <f>F1074-G1074</f>
        <v/>
      </c>
      <c r="N1074" s="2">
        <f>M1074/F1074</f>
        <v/>
      </c>
      <c r="O1074" s="2">
        <f>I1074*J1074/60/M1074</f>
        <v/>
      </c>
      <c r="P1074" s="2">
        <f>K1074/J1074</f>
        <v/>
      </c>
      <c r="Q1074" s="2">
        <f>N1074*O1074*P1074</f>
        <v/>
      </c>
    </row>
    <row r="1075">
      <c r="A1075" t="inlineStr">
        <is>
          <t>2026-08-14</t>
        </is>
      </c>
      <c r="B1075" t="inlineStr">
        <is>
          <t>야간</t>
        </is>
      </c>
      <c r="C1075" t="inlineStr">
        <is>
          <t>P3</t>
        </is>
      </c>
      <c r="D1075" t="inlineStr">
        <is>
          <t>소결</t>
        </is>
      </c>
      <c r="E1075" t="inlineStr">
        <is>
          <t>SF-02</t>
        </is>
      </c>
      <c r="F1075" t="n">
        <v>480</v>
      </c>
      <c r="G1075" t="n">
        <v>62</v>
      </c>
      <c r="H1075" t="inlineStr">
        <is>
          <t>재가열</t>
        </is>
      </c>
      <c r="I1075" t="n">
        <v>6.5</v>
      </c>
      <c r="J1075" t="n">
        <v>3424</v>
      </c>
      <c r="K1075" t="n">
        <v>3208</v>
      </c>
      <c r="L1075" t="inlineStr">
        <is>
          <t>L-0809</t>
        </is>
      </c>
      <c r="M1075">
        <f>F1075-G1075</f>
        <v/>
      </c>
      <c r="N1075" s="2">
        <f>M1075/F1075</f>
        <v/>
      </c>
      <c r="O1075" s="2">
        <f>I1075*J1075/60/M1075</f>
        <v/>
      </c>
      <c r="P1075" s="2">
        <f>K1075/J1075</f>
        <v/>
      </c>
      <c r="Q1075" s="2">
        <f>N1075*O1075*P1075</f>
        <v/>
      </c>
    </row>
    <row r="1076">
      <c r="A1076" t="inlineStr">
        <is>
          <t>2026-08-14</t>
        </is>
      </c>
      <c r="B1076" t="inlineStr">
        <is>
          <t>야간</t>
        </is>
      </c>
      <c r="C1076" t="inlineStr">
        <is>
          <t>P4</t>
        </is>
      </c>
      <c r="D1076" t="inlineStr">
        <is>
          <t>연삭</t>
        </is>
      </c>
      <c r="E1076" t="inlineStr">
        <is>
          <t>GR-01</t>
        </is>
      </c>
      <c r="F1076" t="n">
        <v>480</v>
      </c>
      <c r="G1076" t="n">
        <v>28</v>
      </c>
      <c r="H1076" t="inlineStr">
        <is>
          <t>공구 교체</t>
        </is>
      </c>
      <c r="I1076" t="n">
        <v>6.2</v>
      </c>
      <c r="J1076" t="n">
        <v>4049</v>
      </c>
      <c r="K1076" t="n">
        <v>4000</v>
      </c>
      <c r="L1076" t="inlineStr">
        <is>
          <t>L-0809</t>
        </is>
      </c>
      <c r="M1076">
        <f>F1076-G1076</f>
        <v/>
      </c>
      <c r="N1076" s="2">
        <f>M1076/F1076</f>
        <v/>
      </c>
      <c r="O1076" s="2">
        <f>I1076*J1076/60/M1076</f>
        <v/>
      </c>
      <c r="P1076" s="2">
        <f>K1076/J1076</f>
        <v/>
      </c>
      <c r="Q1076" s="2">
        <f>N1076*O1076*P1076</f>
        <v/>
      </c>
    </row>
    <row r="1077">
      <c r="A1077" t="inlineStr">
        <is>
          <t>2026-08-14</t>
        </is>
      </c>
      <c r="B1077" t="inlineStr">
        <is>
          <t>야간</t>
        </is>
      </c>
      <c r="C1077" t="inlineStr">
        <is>
          <t>P4</t>
        </is>
      </c>
      <c r="D1077" t="inlineStr">
        <is>
          <t>연삭</t>
        </is>
      </c>
      <c r="E1077" t="inlineStr">
        <is>
          <t>GR-02</t>
        </is>
      </c>
      <c r="F1077" t="n">
        <v>480</v>
      </c>
      <c r="G1077" t="n">
        <v>90</v>
      </c>
      <c r="H1077" t="inlineStr">
        <is>
          <t>드레싱</t>
        </is>
      </c>
      <c r="I1077" t="n">
        <v>6.2</v>
      </c>
      <c r="J1077" t="n">
        <v>3529</v>
      </c>
      <c r="K1077" t="n">
        <v>3490</v>
      </c>
      <c r="L1077" t="inlineStr">
        <is>
          <t>L-0809</t>
        </is>
      </c>
      <c r="M1077">
        <f>F1077-G1077</f>
        <v/>
      </c>
      <c r="N1077" s="2">
        <f>M1077/F1077</f>
        <v/>
      </c>
      <c r="O1077" s="2">
        <f>I1077*J1077/60/M1077</f>
        <v/>
      </c>
      <c r="P1077" s="2">
        <f>K1077/J1077</f>
        <v/>
      </c>
      <c r="Q1077" s="2">
        <f>N1077*O1077*P1077</f>
        <v/>
      </c>
    </row>
    <row r="1078">
      <c r="A1078" t="inlineStr">
        <is>
          <t>2026-08-14</t>
        </is>
      </c>
      <c r="B1078" t="inlineStr">
        <is>
          <t>야간</t>
        </is>
      </c>
      <c r="C1078" t="inlineStr">
        <is>
          <t>P5</t>
        </is>
      </c>
      <c r="D1078" t="inlineStr">
        <is>
          <t>검사</t>
        </is>
      </c>
      <c r="E1078" t="inlineStr">
        <is>
          <t>IN-01</t>
        </is>
      </c>
      <c r="F1078" t="n">
        <v>480</v>
      </c>
      <c r="G1078" t="n">
        <v>0</v>
      </c>
      <c r="H1078" t="inlineStr">
        <is>
          <t>측정기 교정</t>
        </is>
      </c>
      <c r="I1078" t="n">
        <v>5.5</v>
      </c>
      <c r="J1078" t="n">
        <v>4789</v>
      </c>
      <c r="K1078" t="n">
        <v>4768</v>
      </c>
      <c r="L1078" t="inlineStr">
        <is>
          <t>L-0809</t>
        </is>
      </c>
      <c r="M1078">
        <f>F1078-G1078</f>
        <v/>
      </c>
      <c r="N1078" s="2">
        <f>M1078/F1078</f>
        <v/>
      </c>
      <c r="O1078" s="2">
        <f>I1078*J1078/60/M1078</f>
        <v/>
      </c>
      <c r="P1078" s="2">
        <f>K1078/J1078</f>
        <v/>
      </c>
      <c r="Q1078" s="2">
        <f>N1078*O1078*P1078</f>
        <v/>
      </c>
    </row>
    <row r="1079">
      <c r="A1079" t="inlineStr">
        <is>
          <t>2026-08-14</t>
        </is>
      </c>
      <c r="B1079" t="inlineStr">
        <is>
          <t>야간</t>
        </is>
      </c>
      <c r="C1079" t="inlineStr">
        <is>
          <t>P5</t>
        </is>
      </c>
      <c r="D1079" t="inlineStr">
        <is>
          <t>검사</t>
        </is>
      </c>
      <c r="E1079" t="inlineStr">
        <is>
          <t>IN-02</t>
        </is>
      </c>
      <c r="F1079" t="n">
        <v>480</v>
      </c>
      <c r="G1079" t="n">
        <v>8</v>
      </c>
      <c r="H1079" t="inlineStr">
        <is>
          <t>측정기 교정</t>
        </is>
      </c>
      <c r="I1079" t="n">
        <v>5.5</v>
      </c>
      <c r="J1079" t="n">
        <v>4582</v>
      </c>
      <c r="K1079" t="n">
        <v>4566</v>
      </c>
      <c r="L1079" t="inlineStr">
        <is>
          <t>L-0809</t>
        </is>
      </c>
      <c r="M1079">
        <f>F1079-G1079</f>
        <v/>
      </c>
      <c r="N1079" s="2">
        <f>M1079/F1079</f>
        <v/>
      </c>
      <c r="O1079" s="2">
        <f>I1079*J1079/60/M1079</f>
        <v/>
      </c>
      <c r="P1079" s="2">
        <f>K1079/J1079</f>
        <v/>
      </c>
      <c r="Q1079" s="2">
        <f>N1079*O1079*P1079</f>
        <v/>
      </c>
    </row>
    <row r="1080">
      <c r="A1080" t="inlineStr">
        <is>
          <t>2026-08-14</t>
        </is>
      </c>
      <c r="B1080" t="inlineStr">
        <is>
          <t>야간</t>
        </is>
      </c>
      <c r="C1080" t="inlineStr">
        <is>
          <t>P6</t>
        </is>
      </c>
      <c r="D1080" t="inlineStr">
        <is>
          <t>포장</t>
        </is>
      </c>
      <c r="E1080" t="inlineStr">
        <is>
          <t>PK-01</t>
        </is>
      </c>
      <c r="F1080" t="n">
        <v>480</v>
      </c>
      <c r="G1080" t="n">
        <v>12</v>
      </c>
      <c r="H1080" t="inlineStr">
        <is>
          <t>라벨 교체</t>
        </is>
      </c>
      <c r="I1080" t="n">
        <v>4.8</v>
      </c>
      <c r="J1080" t="n">
        <v>5238</v>
      </c>
      <c r="K1080" t="n">
        <v>5222</v>
      </c>
      <c r="L1080" t="inlineStr">
        <is>
          <t>L-0809</t>
        </is>
      </c>
      <c r="M1080">
        <f>F1080-G1080</f>
        <v/>
      </c>
      <c r="N1080" s="2">
        <f>M1080/F1080</f>
        <v/>
      </c>
      <c r="O1080" s="2">
        <f>I1080*J1080/60/M1080</f>
        <v/>
      </c>
      <c r="P1080" s="2">
        <f>K1080/J1080</f>
        <v/>
      </c>
      <c r="Q1080" s="2">
        <f>N1080*O1080*P1080</f>
        <v/>
      </c>
    </row>
    <row r="1081">
      <c r="A1081" t="inlineStr">
        <is>
          <t>2026-08-14</t>
        </is>
      </c>
      <c r="B1081" t="inlineStr">
        <is>
          <t>야간</t>
        </is>
      </c>
      <c r="C1081" t="inlineStr">
        <is>
          <t>P6</t>
        </is>
      </c>
      <c r="D1081" t="inlineStr">
        <is>
          <t>포장</t>
        </is>
      </c>
      <c r="E1081" t="inlineStr">
        <is>
          <t>PK-02</t>
        </is>
      </c>
      <c r="F1081" t="n">
        <v>480</v>
      </c>
      <c r="G1081" t="n">
        <v>9</v>
      </c>
      <c r="H1081" t="inlineStr">
        <is>
          <t>라벨 교체</t>
        </is>
      </c>
      <c r="I1081" t="n">
        <v>4.8</v>
      </c>
      <c r="J1081" t="n">
        <v>5252</v>
      </c>
      <c r="K1081" t="n">
        <v>5236</v>
      </c>
      <c r="L1081" t="inlineStr">
        <is>
          <t>L-0809</t>
        </is>
      </c>
      <c r="M1081">
        <f>F1081-G1081</f>
        <v/>
      </c>
      <c r="N1081" s="2">
        <f>M1081/F1081</f>
        <v/>
      </c>
      <c r="O1081" s="2">
        <f>I1081*J1081/60/M1081</f>
        <v/>
      </c>
      <c r="P1081" s="2">
        <f>K1081/J1081</f>
        <v/>
      </c>
      <c r="Q1081" s="2">
        <f>N1081*O1081*P1081</f>
        <v/>
      </c>
    </row>
    <row r="1082">
      <c r="A1082" t="inlineStr">
        <is>
          <t>2026-08-15</t>
        </is>
      </c>
      <c r="B1082" t="inlineStr">
        <is>
          <t>주간</t>
        </is>
      </c>
      <c r="C1082" t="inlineStr">
        <is>
          <t>P1</t>
        </is>
      </c>
      <c r="D1082" t="inlineStr">
        <is>
          <t>원료혼합</t>
        </is>
      </c>
      <c r="E1082" t="inlineStr">
        <is>
          <t>MX-01</t>
        </is>
      </c>
      <c r="F1082" t="n">
        <v>480</v>
      </c>
      <c r="G1082" t="n">
        <v>60</v>
      </c>
      <c r="H1082" t="inlineStr">
        <is>
          <t>원료 대기</t>
        </is>
      </c>
      <c r="I1082" t="n">
        <v>5</v>
      </c>
      <c r="J1082" t="n">
        <v>4511</v>
      </c>
      <c r="K1082" t="n">
        <v>4486</v>
      </c>
      <c r="L1082" t="inlineStr">
        <is>
          <t>L-0809</t>
        </is>
      </c>
      <c r="M1082">
        <f>F1082-G1082</f>
        <v/>
      </c>
      <c r="N1082" s="2">
        <f>M1082/F1082</f>
        <v/>
      </c>
      <c r="O1082" s="2">
        <f>I1082*J1082/60/M1082</f>
        <v/>
      </c>
      <c r="P1082" s="2">
        <f>K1082/J1082</f>
        <v/>
      </c>
      <c r="Q1082" s="2">
        <f>N1082*O1082*P1082</f>
        <v/>
      </c>
    </row>
    <row r="1083">
      <c r="A1083" t="inlineStr">
        <is>
          <t>2026-08-15</t>
        </is>
      </c>
      <c r="B1083" t="inlineStr">
        <is>
          <t>주간</t>
        </is>
      </c>
      <c r="C1083" t="inlineStr">
        <is>
          <t>P1</t>
        </is>
      </c>
      <c r="D1083" t="inlineStr">
        <is>
          <t>원료혼합</t>
        </is>
      </c>
      <c r="E1083" t="inlineStr">
        <is>
          <t>MX-02</t>
        </is>
      </c>
      <c r="F1083" t="n">
        <v>480</v>
      </c>
      <c r="G1083" t="n">
        <v>39</v>
      </c>
      <c r="H1083" t="inlineStr">
        <is>
          <t>청소</t>
        </is>
      </c>
      <c r="I1083" t="n">
        <v>5</v>
      </c>
      <c r="J1083" t="n">
        <v>5022</v>
      </c>
      <c r="K1083" t="n">
        <v>4995</v>
      </c>
      <c r="L1083" t="inlineStr">
        <is>
          <t>L-0809</t>
        </is>
      </c>
      <c r="M1083">
        <f>F1083-G1083</f>
        <v/>
      </c>
      <c r="N1083" s="2">
        <f>M1083/F1083</f>
        <v/>
      </c>
      <c r="O1083" s="2">
        <f>I1083*J1083/60/M1083</f>
        <v/>
      </c>
      <c r="P1083" s="2">
        <f>K1083/J1083</f>
        <v/>
      </c>
      <c r="Q1083" s="2">
        <f>N1083*O1083*P1083</f>
        <v/>
      </c>
    </row>
    <row r="1084">
      <c r="A1084" t="inlineStr">
        <is>
          <t>2026-08-15</t>
        </is>
      </c>
      <c r="B1084" t="inlineStr">
        <is>
          <t>주간</t>
        </is>
      </c>
      <c r="C1084" t="inlineStr">
        <is>
          <t>P2</t>
        </is>
      </c>
      <c r="D1084" t="inlineStr">
        <is>
          <t>성형</t>
        </is>
      </c>
      <c r="E1084" t="inlineStr">
        <is>
          <t>PR-01</t>
        </is>
      </c>
      <c r="F1084" t="n">
        <v>480</v>
      </c>
      <c r="G1084" t="n">
        <v>43</v>
      </c>
      <c r="H1084" t="inlineStr">
        <is>
          <t>분말 공급 지연</t>
        </is>
      </c>
      <c r="I1084" t="n">
        <v>6</v>
      </c>
      <c r="J1084" t="n">
        <v>4061</v>
      </c>
      <c r="K1084" t="n">
        <v>4008</v>
      </c>
      <c r="L1084" t="inlineStr">
        <is>
          <t>L-0809</t>
        </is>
      </c>
      <c r="M1084">
        <f>F1084-G1084</f>
        <v/>
      </c>
      <c r="N1084" s="2">
        <f>M1084/F1084</f>
        <v/>
      </c>
      <c r="O1084" s="2">
        <f>I1084*J1084/60/M1084</f>
        <v/>
      </c>
      <c r="P1084" s="2">
        <f>K1084/J1084</f>
        <v/>
      </c>
      <c r="Q1084" s="2">
        <f>N1084*O1084*P1084</f>
        <v/>
      </c>
    </row>
    <row r="1085">
      <c r="A1085" t="inlineStr">
        <is>
          <t>2026-08-15</t>
        </is>
      </c>
      <c r="B1085" t="inlineStr">
        <is>
          <t>주간</t>
        </is>
      </c>
      <c r="C1085" t="inlineStr">
        <is>
          <t>P2</t>
        </is>
      </c>
      <c r="D1085" t="inlineStr">
        <is>
          <t>성형</t>
        </is>
      </c>
      <c r="E1085" t="inlineStr">
        <is>
          <t>PR-02</t>
        </is>
      </c>
      <c r="F1085" t="n">
        <v>480</v>
      </c>
      <c r="G1085" t="n">
        <v>13</v>
      </c>
      <c r="H1085" t="inlineStr">
        <is>
          <t>압력 이상</t>
        </is>
      </c>
      <c r="I1085" t="n">
        <v>6</v>
      </c>
      <c r="J1085" t="n">
        <v>4340</v>
      </c>
      <c r="K1085" t="n">
        <v>4280</v>
      </c>
      <c r="L1085" t="inlineStr">
        <is>
          <t>L-0809</t>
        </is>
      </c>
      <c r="M1085">
        <f>F1085-G1085</f>
        <v/>
      </c>
      <c r="N1085" s="2">
        <f>M1085/F1085</f>
        <v/>
      </c>
      <c r="O1085" s="2">
        <f>I1085*J1085/60/M1085</f>
        <v/>
      </c>
      <c r="P1085" s="2">
        <f>K1085/J1085</f>
        <v/>
      </c>
      <c r="Q1085" s="2">
        <f>N1085*O1085*P1085</f>
        <v/>
      </c>
    </row>
    <row r="1086">
      <c r="A1086" t="inlineStr">
        <is>
          <t>2026-08-15</t>
        </is>
      </c>
      <c r="B1086" t="inlineStr">
        <is>
          <t>주간</t>
        </is>
      </c>
      <c r="C1086" t="inlineStr">
        <is>
          <t>P3</t>
        </is>
      </c>
      <c r="D1086" t="inlineStr">
        <is>
          <t>소결</t>
        </is>
      </c>
      <c r="E1086" t="inlineStr">
        <is>
          <t>SF-01</t>
        </is>
      </c>
      <c r="F1086" t="n">
        <v>480</v>
      </c>
      <c r="G1086" t="n">
        <v>33</v>
      </c>
      <c r="H1086" t="inlineStr">
        <is>
          <t>온도 이상 정지</t>
        </is>
      </c>
      <c r="I1086" t="n">
        <v>6.5</v>
      </c>
      <c r="J1086" t="n">
        <v>3917</v>
      </c>
      <c r="K1086" t="n">
        <v>3814</v>
      </c>
      <c r="L1086" t="inlineStr">
        <is>
          <t>L-0809</t>
        </is>
      </c>
      <c r="M1086">
        <f>F1086-G1086</f>
        <v/>
      </c>
      <c r="N1086" s="2">
        <f>M1086/F1086</f>
        <v/>
      </c>
      <c r="O1086" s="2">
        <f>I1086*J1086/60/M1086</f>
        <v/>
      </c>
      <c r="P1086" s="2">
        <f>K1086/J1086</f>
        <v/>
      </c>
      <c r="Q1086" s="2">
        <f>N1086*O1086*P1086</f>
        <v/>
      </c>
    </row>
    <row r="1087">
      <c r="A1087" t="inlineStr">
        <is>
          <t>2026-08-15</t>
        </is>
      </c>
      <c r="B1087" t="inlineStr">
        <is>
          <t>주간</t>
        </is>
      </c>
      <c r="C1087" t="inlineStr">
        <is>
          <t>P3</t>
        </is>
      </c>
      <c r="D1087" t="inlineStr">
        <is>
          <t>소결</t>
        </is>
      </c>
      <c r="E1087" t="inlineStr">
        <is>
          <t>SF-02</t>
        </is>
      </c>
      <c r="F1087" t="n">
        <v>480</v>
      </c>
      <c r="G1087" t="n">
        <v>69</v>
      </c>
      <c r="H1087" t="inlineStr">
        <is>
          <t>재가열</t>
        </is>
      </c>
      <c r="I1087" t="n">
        <v>6.5</v>
      </c>
      <c r="J1087" t="n">
        <v>3361</v>
      </c>
      <c r="K1087" t="n">
        <v>3205</v>
      </c>
      <c r="L1087" t="inlineStr">
        <is>
          <t>L-0809</t>
        </is>
      </c>
      <c r="M1087">
        <f>F1087-G1087</f>
        <v/>
      </c>
      <c r="N1087" s="2">
        <f>M1087/F1087</f>
        <v/>
      </c>
      <c r="O1087" s="2">
        <f>I1087*J1087/60/M1087</f>
        <v/>
      </c>
      <c r="P1087" s="2">
        <f>K1087/J1087</f>
        <v/>
      </c>
      <c r="Q1087" s="2">
        <f>N1087*O1087*P1087</f>
        <v/>
      </c>
    </row>
    <row r="1088">
      <c r="A1088" t="inlineStr">
        <is>
          <t>2026-08-15</t>
        </is>
      </c>
      <c r="B1088" t="inlineStr">
        <is>
          <t>주간</t>
        </is>
      </c>
      <c r="C1088" t="inlineStr">
        <is>
          <t>P4</t>
        </is>
      </c>
      <c r="D1088" t="inlineStr">
        <is>
          <t>연삭</t>
        </is>
      </c>
      <c r="E1088" t="inlineStr">
        <is>
          <t>GR-01</t>
        </is>
      </c>
      <c r="F1088" t="n">
        <v>480</v>
      </c>
      <c r="G1088" t="n">
        <v>40</v>
      </c>
      <c r="H1088" t="inlineStr">
        <is>
          <t>드레싱</t>
        </is>
      </c>
      <c r="I1088" t="n">
        <v>6.2</v>
      </c>
      <c r="J1088" t="n">
        <v>3950</v>
      </c>
      <c r="K1088" t="n">
        <v>3913</v>
      </c>
      <c r="L1088" t="inlineStr">
        <is>
          <t>L-0809</t>
        </is>
      </c>
      <c r="M1088">
        <f>F1088-G1088</f>
        <v/>
      </c>
      <c r="N1088" s="2">
        <f>M1088/F1088</f>
        <v/>
      </c>
      <c r="O1088" s="2">
        <f>I1088*J1088/60/M1088</f>
        <v/>
      </c>
      <c r="P1088" s="2">
        <f>K1088/J1088</f>
        <v/>
      </c>
      <c r="Q1088" s="2">
        <f>N1088*O1088*P1088</f>
        <v/>
      </c>
    </row>
    <row r="1089">
      <c r="A1089" t="inlineStr">
        <is>
          <t>2026-08-15</t>
        </is>
      </c>
      <c r="B1089" t="inlineStr">
        <is>
          <t>주간</t>
        </is>
      </c>
      <c r="C1089" t="inlineStr">
        <is>
          <t>P4</t>
        </is>
      </c>
      <c r="D1089" t="inlineStr">
        <is>
          <t>연삭</t>
        </is>
      </c>
      <c r="E1089" t="inlineStr">
        <is>
          <t>GR-02</t>
        </is>
      </c>
      <c r="F1089" t="n">
        <v>480</v>
      </c>
      <c r="G1089" t="n">
        <v>34</v>
      </c>
      <c r="H1089" t="inlineStr">
        <is>
          <t>공구 교체</t>
        </is>
      </c>
      <c r="I1089" t="n">
        <v>6.2</v>
      </c>
      <c r="J1089" t="n">
        <v>4068</v>
      </c>
      <c r="K1089" t="n">
        <v>4018</v>
      </c>
      <c r="L1089" t="inlineStr">
        <is>
          <t>L-0809</t>
        </is>
      </c>
      <c r="M1089">
        <f>F1089-G1089</f>
        <v/>
      </c>
      <c r="N1089" s="2">
        <f>M1089/F1089</f>
        <v/>
      </c>
      <c r="O1089" s="2">
        <f>I1089*J1089/60/M1089</f>
        <v/>
      </c>
      <c r="P1089" s="2">
        <f>K1089/J1089</f>
        <v/>
      </c>
      <c r="Q1089" s="2">
        <f>N1089*O1089*P1089</f>
        <v/>
      </c>
    </row>
    <row r="1090">
      <c r="A1090" t="inlineStr">
        <is>
          <t>2026-08-15</t>
        </is>
      </c>
      <c r="B1090" t="inlineStr">
        <is>
          <t>주간</t>
        </is>
      </c>
      <c r="C1090" t="inlineStr">
        <is>
          <t>P5</t>
        </is>
      </c>
      <c r="D1090" t="inlineStr">
        <is>
          <t>검사</t>
        </is>
      </c>
      <c r="E1090" t="inlineStr">
        <is>
          <t>IN-01</t>
        </is>
      </c>
      <c r="F1090" t="n">
        <v>480</v>
      </c>
      <c r="G1090" t="n">
        <v>9</v>
      </c>
      <c r="H1090" t="inlineStr">
        <is>
          <t>측정기 교정</t>
        </is>
      </c>
      <c r="I1090" t="n">
        <v>5.5</v>
      </c>
      <c r="J1090" t="n">
        <v>4690</v>
      </c>
      <c r="K1090" t="n">
        <v>4676</v>
      </c>
      <c r="L1090" t="inlineStr">
        <is>
          <t>L-0809</t>
        </is>
      </c>
      <c r="M1090">
        <f>F1090-G1090</f>
        <v/>
      </c>
      <c r="N1090" s="2">
        <f>M1090/F1090</f>
        <v/>
      </c>
      <c r="O1090" s="2">
        <f>I1090*J1090/60/M1090</f>
        <v/>
      </c>
      <c r="P1090" s="2">
        <f>K1090/J1090</f>
        <v/>
      </c>
      <c r="Q1090" s="2">
        <f>N1090*O1090*P1090</f>
        <v/>
      </c>
    </row>
    <row r="1091">
      <c r="A1091" t="inlineStr">
        <is>
          <t>2026-08-15</t>
        </is>
      </c>
      <c r="B1091" t="inlineStr">
        <is>
          <t>주간</t>
        </is>
      </c>
      <c r="C1091" t="inlineStr">
        <is>
          <t>P5</t>
        </is>
      </c>
      <c r="D1091" t="inlineStr">
        <is>
          <t>검사</t>
        </is>
      </c>
      <c r="E1091" t="inlineStr">
        <is>
          <t>IN-02</t>
        </is>
      </c>
      <c r="F1091" t="n">
        <v>480</v>
      </c>
      <c r="G1091" t="n">
        <v>18</v>
      </c>
      <c r="H1091" t="inlineStr">
        <is>
          <t>샘플 재검</t>
        </is>
      </c>
      <c r="I1091" t="n">
        <v>5.5</v>
      </c>
      <c r="J1091" t="n">
        <v>4686</v>
      </c>
      <c r="K1091" t="n">
        <v>4672</v>
      </c>
      <c r="L1091" t="inlineStr">
        <is>
          <t>L-0809</t>
        </is>
      </c>
      <c r="M1091">
        <f>F1091-G1091</f>
        <v/>
      </c>
      <c r="N1091" s="2">
        <f>M1091/F1091</f>
        <v/>
      </c>
      <c r="O1091" s="2">
        <f>I1091*J1091/60/M1091</f>
        <v/>
      </c>
      <c r="P1091" s="2">
        <f>K1091/J1091</f>
        <v/>
      </c>
      <c r="Q1091" s="2">
        <f>N1091*O1091*P1091</f>
        <v/>
      </c>
    </row>
    <row r="1092">
      <c r="A1092" t="inlineStr">
        <is>
          <t>2026-08-15</t>
        </is>
      </c>
      <c r="B1092" t="inlineStr">
        <is>
          <t>주간</t>
        </is>
      </c>
      <c r="C1092" t="inlineStr">
        <is>
          <t>P6</t>
        </is>
      </c>
      <c r="D1092" t="inlineStr">
        <is>
          <t>포장</t>
        </is>
      </c>
      <c r="E1092" t="inlineStr">
        <is>
          <t>PK-01</t>
        </is>
      </c>
      <c r="F1092" t="n">
        <v>480</v>
      </c>
      <c r="G1092" t="n">
        <v>6</v>
      </c>
      <c r="H1092" t="inlineStr">
        <is>
          <t>자재 대기</t>
        </is>
      </c>
      <c r="I1092" t="n">
        <v>4.8</v>
      </c>
      <c r="J1092" t="n">
        <v>5470</v>
      </c>
      <c r="K1092" t="n">
        <v>5458</v>
      </c>
      <c r="L1092" t="inlineStr">
        <is>
          <t>L-0809</t>
        </is>
      </c>
      <c r="M1092">
        <f>F1092-G1092</f>
        <v/>
      </c>
      <c r="N1092" s="2">
        <f>M1092/F1092</f>
        <v/>
      </c>
      <c r="O1092" s="2">
        <f>I1092*J1092/60/M1092</f>
        <v/>
      </c>
      <c r="P1092" s="2">
        <f>K1092/J1092</f>
        <v/>
      </c>
      <c r="Q1092" s="2">
        <f>N1092*O1092*P1092</f>
        <v/>
      </c>
    </row>
    <row r="1093">
      <c r="A1093" t="inlineStr">
        <is>
          <t>2026-08-15</t>
        </is>
      </c>
      <c r="B1093" t="inlineStr">
        <is>
          <t>주간</t>
        </is>
      </c>
      <c r="C1093" t="inlineStr">
        <is>
          <t>P6</t>
        </is>
      </c>
      <c r="D1093" t="inlineStr">
        <is>
          <t>포장</t>
        </is>
      </c>
      <c r="E1093" t="inlineStr">
        <is>
          <t>PK-02</t>
        </is>
      </c>
      <c r="F1093" t="n">
        <v>480</v>
      </c>
      <c r="G1093" t="n">
        <v>33</v>
      </c>
      <c r="H1093" t="inlineStr">
        <is>
          <t>라벨 교체</t>
        </is>
      </c>
      <c r="I1093" t="n">
        <v>4.8</v>
      </c>
      <c r="J1093" t="n">
        <v>5266</v>
      </c>
      <c r="K1093" t="n">
        <v>5254</v>
      </c>
      <c r="L1093" t="inlineStr">
        <is>
          <t>L-0809</t>
        </is>
      </c>
      <c r="M1093">
        <f>F1093-G1093</f>
        <v/>
      </c>
      <c r="N1093" s="2">
        <f>M1093/F1093</f>
        <v/>
      </c>
      <c r="O1093" s="2">
        <f>I1093*J1093/60/M1093</f>
        <v/>
      </c>
      <c r="P1093" s="2">
        <f>K1093/J1093</f>
        <v/>
      </c>
      <c r="Q1093" s="2">
        <f>N1093*O1093*P1093</f>
        <v/>
      </c>
    </row>
    <row r="1094">
      <c r="A1094" t="inlineStr">
        <is>
          <t>2026-08-15</t>
        </is>
      </c>
      <c r="B1094" t="inlineStr">
        <is>
          <t>야간</t>
        </is>
      </c>
      <c r="C1094" t="inlineStr">
        <is>
          <t>P1</t>
        </is>
      </c>
      <c r="D1094" t="inlineStr">
        <is>
          <t>원료혼합</t>
        </is>
      </c>
      <c r="E1094" t="inlineStr">
        <is>
          <t>MX-01</t>
        </is>
      </c>
      <c r="F1094" t="n">
        <v>480</v>
      </c>
      <c r="G1094" t="n">
        <v>22</v>
      </c>
      <c r="H1094" t="inlineStr">
        <is>
          <t>청소</t>
        </is>
      </c>
      <c r="I1094" t="n">
        <v>5</v>
      </c>
      <c r="J1094" t="n">
        <v>5221</v>
      </c>
      <c r="K1094" t="n">
        <v>5181</v>
      </c>
      <c r="L1094" t="inlineStr">
        <is>
          <t>L-0809</t>
        </is>
      </c>
      <c r="M1094">
        <f>F1094-G1094</f>
        <v/>
      </c>
      <c r="N1094" s="2">
        <f>M1094/F1094</f>
        <v/>
      </c>
      <c r="O1094" s="2">
        <f>I1094*J1094/60/M1094</f>
        <v/>
      </c>
      <c r="P1094" s="2">
        <f>K1094/J1094</f>
        <v/>
      </c>
      <c r="Q1094" s="2">
        <f>N1094*O1094*P1094</f>
        <v/>
      </c>
    </row>
    <row r="1095">
      <c r="A1095" t="inlineStr">
        <is>
          <t>2026-08-15</t>
        </is>
      </c>
      <c r="B1095" t="inlineStr">
        <is>
          <t>야간</t>
        </is>
      </c>
      <c r="C1095" t="inlineStr">
        <is>
          <t>P1</t>
        </is>
      </c>
      <c r="D1095" t="inlineStr">
        <is>
          <t>원료혼합</t>
        </is>
      </c>
      <c r="E1095" t="inlineStr">
        <is>
          <t>MX-02</t>
        </is>
      </c>
      <c r="F1095" t="n">
        <v>480</v>
      </c>
      <c r="G1095" t="n">
        <v>4</v>
      </c>
      <c r="H1095" t="inlineStr">
        <is>
          <t>청소</t>
        </is>
      </c>
      <c r="I1095" t="n">
        <v>5</v>
      </c>
      <c r="J1095" t="n">
        <v>5427</v>
      </c>
      <c r="K1095" t="n">
        <v>5394</v>
      </c>
      <c r="L1095" t="inlineStr">
        <is>
          <t>L-0809</t>
        </is>
      </c>
      <c r="M1095">
        <f>F1095-G1095</f>
        <v/>
      </c>
      <c r="N1095" s="2">
        <f>M1095/F1095</f>
        <v/>
      </c>
      <c r="O1095" s="2">
        <f>I1095*J1095/60/M1095</f>
        <v/>
      </c>
      <c r="P1095" s="2">
        <f>K1095/J1095</f>
        <v/>
      </c>
      <c r="Q1095" s="2">
        <f>N1095*O1095*P1095</f>
        <v/>
      </c>
    </row>
    <row r="1096">
      <c r="A1096" t="inlineStr">
        <is>
          <t>2026-08-15</t>
        </is>
      </c>
      <c r="B1096" t="inlineStr">
        <is>
          <t>야간</t>
        </is>
      </c>
      <c r="C1096" t="inlineStr">
        <is>
          <t>P2</t>
        </is>
      </c>
      <c r="D1096" t="inlineStr">
        <is>
          <t>성형</t>
        </is>
      </c>
      <c r="E1096" t="inlineStr">
        <is>
          <t>PR-01</t>
        </is>
      </c>
      <c r="F1096" t="n">
        <v>480</v>
      </c>
      <c r="G1096" t="n">
        <v>7</v>
      </c>
      <c r="H1096" t="inlineStr">
        <is>
          <t>금형 교체</t>
        </is>
      </c>
      <c r="I1096" t="n">
        <v>6</v>
      </c>
      <c r="J1096" t="n">
        <v>4532</v>
      </c>
      <c r="K1096" t="n">
        <v>4466</v>
      </c>
      <c r="L1096" t="inlineStr">
        <is>
          <t>L-0809</t>
        </is>
      </c>
      <c r="M1096">
        <f>F1096-G1096</f>
        <v/>
      </c>
      <c r="N1096" s="2">
        <f>M1096/F1096</f>
        <v/>
      </c>
      <c r="O1096" s="2">
        <f>I1096*J1096/60/M1096</f>
        <v/>
      </c>
      <c r="P1096" s="2">
        <f>K1096/J1096</f>
        <v/>
      </c>
      <c r="Q1096" s="2">
        <f>N1096*O1096*P1096</f>
        <v/>
      </c>
    </row>
    <row r="1097">
      <c r="A1097" t="inlineStr">
        <is>
          <t>2026-08-15</t>
        </is>
      </c>
      <c r="B1097" t="inlineStr">
        <is>
          <t>야간</t>
        </is>
      </c>
      <c r="C1097" t="inlineStr">
        <is>
          <t>P2</t>
        </is>
      </c>
      <c r="D1097" t="inlineStr">
        <is>
          <t>성형</t>
        </is>
      </c>
      <c r="E1097" t="inlineStr">
        <is>
          <t>PR-02</t>
        </is>
      </c>
      <c r="F1097" t="n">
        <v>480</v>
      </c>
      <c r="G1097" t="n">
        <v>4</v>
      </c>
      <c r="H1097" t="inlineStr">
        <is>
          <t>금형 교체</t>
        </is>
      </c>
      <c r="I1097" t="n">
        <v>6</v>
      </c>
      <c r="J1097" t="n">
        <v>4292</v>
      </c>
      <c r="K1097" t="n">
        <v>4235</v>
      </c>
      <c r="L1097" t="inlineStr">
        <is>
          <t>L-0809</t>
        </is>
      </c>
      <c r="M1097">
        <f>F1097-G1097</f>
        <v/>
      </c>
      <c r="N1097" s="2">
        <f>M1097/F1097</f>
        <v/>
      </c>
      <c r="O1097" s="2">
        <f>I1097*J1097/60/M1097</f>
        <v/>
      </c>
      <c r="P1097" s="2">
        <f>K1097/J1097</f>
        <v/>
      </c>
      <c r="Q1097" s="2">
        <f>N1097*O1097*P1097</f>
        <v/>
      </c>
    </row>
    <row r="1098">
      <c r="A1098" t="inlineStr">
        <is>
          <t>2026-08-15</t>
        </is>
      </c>
      <c r="B1098" t="inlineStr">
        <is>
          <t>야간</t>
        </is>
      </c>
      <c r="C1098" t="inlineStr">
        <is>
          <t>P3</t>
        </is>
      </c>
      <c r="D1098" t="inlineStr">
        <is>
          <t>소결</t>
        </is>
      </c>
      <c r="E1098" t="inlineStr">
        <is>
          <t>SF-01</t>
        </is>
      </c>
      <c r="F1098" t="n">
        <v>480</v>
      </c>
      <c r="G1098" t="n">
        <v>74</v>
      </c>
      <c r="H1098" t="inlineStr">
        <is>
          <t>재가열</t>
        </is>
      </c>
      <c r="I1098" t="n">
        <v>6.5</v>
      </c>
      <c r="J1098" t="n">
        <v>3471</v>
      </c>
      <c r="K1098" t="n">
        <v>3369</v>
      </c>
      <c r="L1098" t="inlineStr">
        <is>
          <t>L-0809</t>
        </is>
      </c>
      <c r="M1098">
        <f>F1098-G1098</f>
        <v/>
      </c>
      <c r="N1098" s="2">
        <f>M1098/F1098</f>
        <v/>
      </c>
      <c r="O1098" s="2">
        <f>I1098*J1098/60/M1098</f>
        <v/>
      </c>
      <c r="P1098" s="2">
        <f>K1098/J1098</f>
        <v/>
      </c>
      <c r="Q1098" s="2">
        <f>N1098*O1098*P1098</f>
        <v/>
      </c>
    </row>
    <row r="1099">
      <c r="A1099" t="inlineStr">
        <is>
          <t>2026-08-15</t>
        </is>
      </c>
      <c r="B1099" t="inlineStr">
        <is>
          <t>야간</t>
        </is>
      </c>
      <c r="C1099" t="inlineStr">
        <is>
          <t>P3</t>
        </is>
      </c>
      <c r="D1099" t="inlineStr">
        <is>
          <t>소결</t>
        </is>
      </c>
      <c r="E1099" t="inlineStr">
        <is>
          <t>SF-02</t>
        </is>
      </c>
      <c r="F1099" t="n">
        <v>480</v>
      </c>
      <c r="G1099" t="n">
        <v>81</v>
      </c>
      <c r="H1099" t="inlineStr">
        <is>
          <t>재가열</t>
        </is>
      </c>
      <c r="I1099" t="n">
        <v>6.5</v>
      </c>
      <c r="J1099" t="n">
        <v>3199</v>
      </c>
      <c r="K1099" t="n">
        <v>2951</v>
      </c>
      <c r="L1099" t="inlineStr">
        <is>
          <t>L-0809</t>
        </is>
      </c>
      <c r="M1099">
        <f>F1099-G1099</f>
        <v/>
      </c>
      <c r="N1099" s="2">
        <f>M1099/F1099</f>
        <v/>
      </c>
      <c r="O1099" s="2">
        <f>I1099*J1099/60/M1099</f>
        <v/>
      </c>
      <c r="P1099" s="2">
        <f>K1099/J1099</f>
        <v/>
      </c>
      <c r="Q1099" s="2">
        <f>N1099*O1099*P1099</f>
        <v/>
      </c>
    </row>
    <row r="1100">
      <c r="A1100" t="inlineStr">
        <is>
          <t>2026-08-15</t>
        </is>
      </c>
      <c r="B1100" t="inlineStr">
        <is>
          <t>야간</t>
        </is>
      </c>
      <c r="C1100" t="inlineStr">
        <is>
          <t>P4</t>
        </is>
      </c>
      <c r="D1100" t="inlineStr">
        <is>
          <t>연삭</t>
        </is>
      </c>
      <c r="E1100" t="inlineStr">
        <is>
          <t>GR-01</t>
        </is>
      </c>
      <c r="F1100" t="n">
        <v>480</v>
      </c>
      <c r="G1100" t="n">
        <v>75</v>
      </c>
      <c r="H1100" t="inlineStr">
        <is>
          <t>공구 교체</t>
        </is>
      </c>
      <c r="I1100" t="n">
        <v>6.2</v>
      </c>
      <c r="J1100" t="n">
        <v>3646</v>
      </c>
      <c r="K1100" t="n">
        <v>3613</v>
      </c>
      <c r="L1100" t="inlineStr">
        <is>
          <t>L-0809</t>
        </is>
      </c>
      <c r="M1100">
        <f>F1100-G1100</f>
        <v/>
      </c>
      <c r="N1100" s="2">
        <f>M1100/F1100</f>
        <v/>
      </c>
      <c r="O1100" s="2">
        <f>I1100*J1100/60/M1100</f>
        <v/>
      </c>
      <c r="P1100" s="2">
        <f>K1100/J1100</f>
        <v/>
      </c>
      <c r="Q1100" s="2">
        <f>N1100*O1100*P1100</f>
        <v/>
      </c>
    </row>
    <row r="1101">
      <c r="A1101" t="inlineStr">
        <is>
          <t>2026-08-15</t>
        </is>
      </c>
      <c r="B1101" t="inlineStr">
        <is>
          <t>야간</t>
        </is>
      </c>
      <c r="C1101" t="inlineStr">
        <is>
          <t>P4</t>
        </is>
      </c>
      <c r="D1101" t="inlineStr">
        <is>
          <t>연삭</t>
        </is>
      </c>
      <c r="E1101" t="inlineStr">
        <is>
          <t>GR-02</t>
        </is>
      </c>
      <c r="F1101" t="n">
        <v>480</v>
      </c>
      <c r="G1101" t="n">
        <v>67</v>
      </c>
      <c r="H1101" t="inlineStr">
        <is>
          <t>공구 교체</t>
        </is>
      </c>
      <c r="I1101" t="n">
        <v>6.2</v>
      </c>
      <c r="J1101" t="n">
        <v>3791</v>
      </c>
      <c r="K1101" t="n">
        <v>3753</v>
      </c>
      <c r="L1101" t="inlineStr">
        <is>
          <t>L-0809</t>
        </is>
      </c>
      <c r="M1101">
        <f>F1101-G1101</f>
        <v/>
      </c>
      <c r="N1101" s="2">
        <f>M1101/F1101</f>
        <v/>
      </c>
      <c r="O1101" s="2">
        <f>I1101*J1101/60/M1101</f>
        <v/>
      </c>
      <c r="P1101" s="2">
        <f>K1101/J1101</f>
        <v/>
      </c>
      <c r="Q1101" s="2">
        <f>N1101*O1101*P1101</f>
        <v/>
      </c>
    </row>
    <row r="1102">
      <c r="A1102" t="inlineStr">
        <is>
          <t>2026-08-15</t>
        </is>
      </c>
      <c r="B1102" t="inlineStr">
        <is>
          <t>야간</t>
        </is>
      </c>
      <c r="C1102" t="inlineStr">
        <is>
          <t>P5</t>
        </is>
      </c>
      <c r="D1102" t="inlineStr">
        <is>
          <t>검사</t>
        </is>
      </c>
      <c r="E1102" t="inlineStr">
        <is>
          <t>IN-01</t>
        </is>
      </c>
      <c r="F1102" t="n">
        <v>480</v>
      </c>
      <c r="G1102" t="n">
        <v>17</v>
      </c>
      <c r="H1102" t="inlineStr">
        <is>
          <t>샘플 재검</t>
        </is>
      </c>
      <c r="I1102" t="n">
        <v>5.5</v>
      </c>
      <c r="J1102" t="n">
        <v>4496</v>
      </c>
      <c r="K1102" t="n">
        <v>4482</v>
      </c>
      <c r="L1102" t="inlineStr">
        <is>
          <t>L-0809</t>
        </is>
      </c>
      <c r="M1102">
        <f>F1102-G1102</f>
        <v/>
      </c>
      <c r="N1102" s="2">
        <f>M1102/F1102</f>
        <v/>
      </c>
      <c r="O1102" s="2">
        <f>I1102*J1102/60/M1102</f>
        <v/>
      </c>
      <c r="P1102" s="2">
        <f>K1102/J1102</f>
        <v/>
      </c>
      <c r="Q1102" s="2">
        <f>N1102*O1102*P1102</f>
        <v/>
      </c>
    </row>
    <row r="1103">
      <c r="A1103" t="inlineStr">
        <is>
          <t>2026-08-15</t>
        </is>
      </c>
      <c r="B1103" t="inlineStr">
        <is>
          <t>야간</t>
        </is>
      </c>
      <c r="C1103" t="inlineStr">
        <is>
          <t>P5</t>
        </is>
      </c>
      <c r="D1103" t="inlineStr">
        <is>
          <t>검사</t>
        </is>
      </c>
      <c r="E1103" t="inlineStr">
        <is>
          <t>IN-02</t>
        </is>
      </c>
      <c r="F1103" t="n">
        <v>480</v>
      </c>
      <c r="G1103" t="n">
        <v>13</v>
      </c>
      <c r="H1103" t="inlineStr">
        <is>
          <t>샘플 재검</t>
        </is>
      </c>
      <c r="I1103" t="n">
        <v>5.5</v>
      </c>
      <c r="J1103" t="n">
        <v>4805</v>
      </c>
      <c r="K1103" t="n">
        <v>4784</v>
      </c>
      <c r="L1103" t="inlineStr">
        <is>
          <t>L-0809</t>
        </is>
      </c>
      <c r="M1103">
        <f>F1103-G1103</f>
        <v/>
      </c>
      <c r="N1103" s="2">
        <f>M1103/F1103</f>
        <v/>
      </c>
      <c r="O1103" s="2">
        <f>I1103*J1103/60/M1103</f>
        <v/>
      </c>
      <c r="P1103" s="2">
        <f>K1103/J1103</f>
        <v/>
      </c>
      <c r="Q1103" s="2">
        <f>N1103*O1103*P1103</f>
        <v/>
      </c>
    </row>
    <row r="1104">
      <c r="A1104" t="inlineStr">
        <is>
          <t>2026-08-15</t>
        </is>
      </c>
      <c r="B1104" t="inlineStr">
        <is>
          <t>야간</t>
        </is>
      </c>
      <c r="C1104" t="inlineStr">
        <is>
          <t>P6</t>
        </is>
      </c>
      <c r="D1104" t="inlineStr">
        <is>
          <t>포장</t>
        </is>
      </c>
      <c r="E1104" t="inlineStr">
        <is>
          <t>PK-01</t>
        </is>
      </c>
      <c r="F1104" t="n">
        <v>480</v>
      </c>
      <c r="G1104" t="n">
        <v>15</v>
      </c>
      <c r="H1104" t="inlineStr">
        <is>
          <t>자재 대기</t>
        </is>
      </c>
      <c r="I1104" t="n">
        <v>4.8</v>
      </c>
      <c r="J1104" t="n">
        <v>5557</v>
      </c>
      <c r="K1104" t="n">
        <v>5542</v>
      </c>
      <c r="L1104" t="inlineStr">
        <is>
          <t>L-0809</t>
        </is>
      </c>
      <c r="M1104">
        <f>F1104-G1104</f>
        <v/>
      </c>
      <c r="N1104" s="2">
        <f>M1104/F1104</f>
        <v/>
      </c>
      <c r="O1104" s="2">
        <f>I1104*J1104/60/M1104</f>
        <v/>
      </c>
      <c r="P1104" s="2">
        <f>K1104/J1104</f>
        <v/>
      </c>
      <c r="Q1104" s="2">
        <f>N1104*O1104*P1104</f>
        <v/>
      </c>
    </row>
    <row r="1105">
      <c r="A1105" t="inlineStr">
        <is>
          <t>2026-08-15</t>
        </is>
      </c>
      <c r="B1105" t="inlineStr">
        <is>
          <t>야간</t>
        </is>
      </c>
      <c r="C1105" t="inlineStr">
        <is>
          <t>P6</t>
        </is>
      </c>
      <c r="D1105" t="inlineStr">
        <is>
          <t>포장</t>
        </is>
      </c>
      <c r="E1105" t="inlineStr">
        <is>
          <t>PK-02</t>
        </is>
      </c>
      <c r="F1105" t="n">
        <v>480</v>
      </c>
      <c r="G1105" t="n">
        <v>37</v>
      </c>
      <c r="H1105" t="inlineStr">
        <is>
          <t>자재 대기</t>
        </is>
      </c>
      <c r="I1105" t="n">
        <v>4.8</v>
      </c>
      <c r="J1105" t="n">
        <v>5272</v>
      </c>
      <c r="K1105" t="n">
        <v>5259</v>
      </c>
      <c r="L1105" t="inlineStr">
        <is>
          <t>L-0809</t>
        </is>
      </c>
      <c r="M1105">
        <f>F1105-G1105</f>
        <v/>
      </c>
      <c r="N1105" s="2">
        <f>M1105/F1105</f>
        <v/>
      </c>
      <c r="O1105" s="2">
        <f>I1105*J1105/60/M1105</f>
        <v/>
      </c>
      <c r="P1105" s="2">
        <f>K1105/J1105</f>
        <v/>
      </c>
      <c r="Q1105" s="2">
        <f>N1105*O1105*P1105</f>
        <v/>
      </c>
    </row>
    <row r="1106">
      <c r="A1106" t="inlineStr">
        <is>
          <t>2026-08-16</t>
        </is>
      </c>
      <c r="B1106" t="inlineStr">
        <is>
          <t>주간</t>
        </is>
      </c>
      <c r="C1106" t="inlineStr">
        <is>
          <t>P1</t>
        </is>
      </c>
      <c r="D1106" t="inlineStr">
        <is>
          <t>원료혼합</t>
        </is>
      </c>
      <c r="E1106" t="inlineStr">
        <is>
          <t>MX-01</t>
        </is>
      </c>
      <c r="F1106" t="n">
        <v>480</v>
      </c>
      <c r="G1106" t="n">
        <v>2</v>
      </c>
      <c r="H1106" t="inlineStr">
        <is>
          <t>배합 확인</t>
        </is>
      </c>
      <c r="I1106" t="n">
        <v>5</v>
      </c>
      <c r="J1106" t="n">
        <v>5212</v>
      </c>
      <c r="K1106" t="n">
        <v>5182</v>
      </c>
      <c r="L1106" t="inlineStr">
        <is>
          <t>L-0809</t>
        </is>
      </c>
      <c r="M1106">
        <f>F1106-G1106</f>
        <v/>
      </c>
      <c r="N1106" s="2">
        <f>M1106/F1106</f>
        <v/>
      </c>
      <c r="O1106" s="2">
        <f>I1106*J1106/60/M1106</f>
        <v/>
      </c>
      <c r="P1106" s="2">
        <f>K1106/J1106</f>
        <v/>
      </c>
      <c r="Q1106" s="2">
        <f>N1106*O1106*P1106</f>
        <v/>
      </c>
    </row>
    <row r="1107">
      <c r="A1107" t="inlineStr">
        <is>
          <t>2026-08-16</t>
        </is>
      </c>
      <c r="B1107" t="inlineStr">
        <is>
          <t>주간</t>
        </is>
      </c>
      <c r="C1107" t="inlineStr">
        <is>
          <t>P1</t>
        </is>
      </c>
      <c r="D1107" t="inlineStr">
        <is>
          <t>원료혼합</t>
        </is>
      </c>
      <c r="E1107" t="inlineStr">
        <is>
          <t>MX-02</t>
        </is>
      </c>
      <c r="F1107" t="n">
        <v>480</v>
      </c>
      <c r="G1107" t="n">
        <v>12</v>
      </c>
      <c r="H1107" t="inlineStr">
        <is>
          <t>원료 대기</t>
        </is>
      </c>
      <c r="I1107" t="n">
        <v>5</v>
      </c>
      <c r="J1107" t="n">
        <v>5266</v>
      </c>
      <c r="K1107" t="n">
        <v>5237</v>
      </c>
      <c r="L1107" t="inlineStr">
        <is>
          <t>L-0809</t>
        </is>
      </c>
      <c r="M1107">
        <f>F1107-G1107</f>
        <v/>
      </c>
      <c r="N1107" s="2">
        <f>M1107/F1107</f>
        <v/>
      </c>
      <c r="O1107" s="2">
        <f>I1107*J1107/60/M1107</f>
        <v/>
      </c>
      <c r="P1107" s="2">
        <f>K1107/J1107</f>
        <v/>
      </c>
      <c r="Q1107" s="2">
        <f>N1107*O1107*P1107</f>
        <v/>
      </c>
    </row>
    <row r="1108">
      <c r="A1108" t="inlineStr">
        <is>
          <t>2026-08-16</t>
        </is>
      </c>
      <c r="B1108" t="inlineStr">
        <is>
          <t>주간</t>
        </is>
      </c>
      <c r="C1108" t="inlineStr">
        <is>
          <t>P2</t>
        </is>
      </c>
      <c r="D1108" t="inlineStr">
        <is>
          <t>성형</t>
        </is>
      </c>
      <c r="E1108" t="inlineStr">
        <is>
          <t>PR-01</t>
        </is>
      </c>
      <c r="F1108" t="n">
        <v>480</v>
      </c>
      <c r="G1108" t="n">
        <v>4</v>
      </c>
      <c r="H1108" t="inlineStr">
        <is>
          <t>금형 교체</t>
        </is>
      </c>
      <c r="I1108" t="n">
        <v>6</v>
      </c>
      <c r="J1108" t="n">
        <v>4329</v>
      </c>
      <c r="K1108" t="n">
        <v>4254</v>
      </c>
      <c r="L1108" t="inlineStr">
        <is>
          <t>L-0809</t>
        </is>
      </c>
      <c r="M1108">
        <f>F1108-G1108</f>
        <v/>
      </c>
      <c r="N1108" s="2">
        <f>M1108/F1108</f>
        <v/>
      </c>
      <c r="O1108" s="2">
        <f>I1108*J1108/60/M1108</f>
        <v/>
      </c>
      <c r="P1108" s="2">
        <f>K1108/J1108</f>
        <v/>
      </c>
      <c r="Q1108" s="2">
        <f>N1108*O1108*P1108</f>
        <v/>
      </c>
    </row>
    <row r="1109">
      <c r="A1109" t="inlineStr">
        <is>
          <t>2026-08-16</t>
        </is>
      </c>
      <c r="B1109" t="inlineStr">
        <is>
          <t>주간</t>
        </is>
      </c>
      <c r="C1109" t="inlineStr">
        <is>
          <t>P2</t>
        </is>
      </c>
      <c r="D1109" t="inlineStr">
        <is>
          <t>성형</t>
        </is>
      </c>
      <c r="E1109" t="inlineStr">
        <is>
          <t>PR-02</t>
        </is>
      </c>
      <c r="F1109" t="n">
        <v>480</v>
      </c>
      <c r="G1109" t="n">
        <v>16</v>
      </c>
      <c r="H1109" t="inlineStr">
        <is>
          <t>압력 이상</t>
        </is>
      </c>
      <c r="I1109" t="n">
        <v>6</v>
      </c>
      <c r="J1109" t="n">
        <v>4446</v>
      </c>
      <c r="K1109" t="n">
        <v>4380</v>
      </c>
      <c r="L1109" t="inlineStr">
        <is>
          <t>L-0809</t>
        </is>
      </c>
      <c r="M1109">
        <f>F1109-G1109</f>
        <v/>
      </c>
      <c r="N1109" s="2">
        <f>M1109/F1109</f>
        <v/>
      </c>
      <c r="O1109" s="2">
        <f>I1109*J1109/60/M1109</f>
        <v/>
      </c>
      <c r="P1109" s="2">
        <f>K1109/J1109</f>
        <v/>
      </c>
      <c r="Q1109" s="2">
        <f>N1109*O1109*P1109</f>
        <v/>
      </c>
    </row>
    <row r="1110">
      <c r="A1110" t="inlineStr">
        <is>
          <t>2026-08-16</t>
        </is>
      </c>
      <c r="B1110" t="inlineStr">
        <is>
          <t>주간</t>
        </is>
      </c>
      <c r="C1110" t="inlineStr">
        <is>
          <t>P3</t>
        </is>
      </c>
      <c r="D1110" t="inlineStr">
        <is>
          <t>소결</t>
        </is>
      </c>
      <c r="E1110" t="inlineStr">
        <is>
          <t>SF-01</t>
        </is>
      </c>
      <c r="F1110" t="n">
        <v>480</v>
      </c>
      <c r="G1110" t="n">
        <v>36</v>
      </c>
      <c r="H1110" t="inlineStr">
        <is>
          <t>온도 이상 정지</t>
        </is>
      </c>
      <c r="I1110" t="n">
        <v>6.5</v>
      </c>
      <c r="J1110" t="n">
        <v>3843</v>
      </c>
      <c r="K1110" t="n">
        <v>3728</v>
      </c>
      <c r="L1110" t="inlineStr">
        <is>
          <t>L-0809</t>
        </is>
      </c>
      <c r="M1110">
        <f>F1110-G1110</f>
        <v/>
      </c>
      <c r="N1110" s="2">
        <f>M1110/F1110</f>
        <v/>
      </c>
      <c r="O1110" s="2">
        <f>I1110*J1110/60/M1110</f>
        <v/>
      </c>
      <c r="P1110" s="2">
        <f>K1110/J1110</f>
        <v/>
      </c>
      <c r="Q1110" s="2">
        <f>N1110*O1110*P1110</f>
        <v/>
      </c>
    </row>
    <row r="1111">
      <c r="A1111" t="inlineStr">
        <is>
          <t>2026-08-16</t>
        </is>
      </c>
      <c r="B1111" t="inlineStr">
        <is>
          <t>주간</t>
        </is>
      </c>
      <c r="C1111" t="inlineStr">
        <is>
          <t>P3</t>
        </is>
      </c>
      <c r="D1111" t="inlineStr">
        <is>
          <t>소결</t>
        </is>
      </c>
      <c r="E1111" t="inlineStr">
        <is>
          <t>SF-02</t>
        </is>
      </c>
      <c r="F1111" t="n">
        <v>480</v>
      </c>
      <c r="G1111" t="n">
        <v>78</v>
      </c>
      <c r="H1111" t="inlineStr">
        <is>
          <t>재가열</t>
        </is>
      </c>
      <c r="I1111" t="n">
        <v>6.5</v>
      </c>
      <c r="J1111" t="n">
        <v>3318</v>
      </c>
      <c r="K1111" t="n">
        <v>3128</v>
      </c>
      <c r="L1111" t="inlineStr">
        <is>
          <t>L-0809</t>
        </is>
      </c>
      <c r="M1111">
        <f>F1111-G1111</f>
        <v/>
      </c>
      <c r="N1111" s="2">
        <f>M1111/F1111</f>
        <v/>
      </c>
      <c r="O1111" s="2">
        <f>I1111*J1111/60/M1111</f>
        <v/>
      </c>
      <c r="P1111" s="2">
        <f>K1111/J1111</f>
        <v/>
      </c>
      <c r="Q1111" s="2">
        <f>N1111*O1111*P1111</f>
        <v/>
      </c>
    </row>
    <row r="1112">
      <c r="A1112" t="inlineStr">
        <is>
          <t>2026-08-16</t>
        </is>
      </c>
      <c r="B1112" t="inlineStr">
        <is>
          <t>주간</t>
        </is>
      </c>
      <c r="C1112" t="inlineStr">
        <is>
          <t>P4</t>
        </is>
      </c>
      <c r="D1112" t="inlineStr">
        <is>
          <t>연삭</t>
        </is>
      </c>
      <c r="E1112" t="inlineStr">
        <is>
          <t>GR-01</t>
        </is>
      </c>
      <c r="F1112" t="n">
        <v>480</v>
      </c>
      <c r="G1112" t="n">
        <v>40</v>
      </c>
      <c r="H1112" t="inlineStr">
        <is>
          <t>공구 교체</t>
        </is>
      </c>
      <c r="I1112" t="n">
        <v>6.2</v>
      </c>
      <c r="J1112" t="n">
        <v>4037</v>
      </c>
      <c r="K1112" t="n">
        <v>3994</v>
      </c>
      <c r="L1112" t="inlineStr">
        <is>
          <t>L-0809</t>
        </is>
      </c>
      <c r="M1112">
        <f>F1112-G1112</f>
        <v/>
      </c>
      <c r="N1112" s="2">
        <f>M1112/F1112</f>
        <v/>
      </c>
      <c r="O1112" s="2">
        <f>I1112*J1112/60/M1112</f>
        <v/>
      </c>
      <c r="P1112" s="2">
        <f>K1112/J1112</f>
        <v/>
      </c>
      <c r="Q1112" s="2">
        <f>N1112*O1112*P1112</f>
        <v/>
      </c>
    </row>
    <row r="1113">
      <c r="A1113" t="inlineStr">
        <is>
          <t>2026-08-16</t>
        </is>
      </c>
      <c r="B1113" t="inlineStr">
        <is>
          <t>주간</t>
        </is>
      </c>
      <c r="C1113" t="inlineStr">
        <is>
          <t>P4</t>
        </is>
      </c>
      <c r="D1113" t="inlineStr">
        <is>
          <t>연삭</t>
        </is>
      </c>
      <c r="E1113" t="inlineStr">
        <is>
          <t>GR-02</t>
        </is>
      </c>
      <c r="F1113" t="n">
        <v>480</v>
      </c>
      <c r="G1113" t="n">
        <v>69</v>
      </c>
      <c r="H1113" t="inlineStr">
        <is>
          <t>드레싱</t>
        </is>
      </c>
      <c r="I1113" t="n">
        <v>6.2</v>
      </c>
      <c r="J1113" t="n">
        <v>3756</v>
      </c>
      <c r="K1113" t="n">
        <v>3709</v>
      </c>
      <c r="L1113" t="inlineStr">
        <is>
          <t>L-0809</t>
        </is>
      </c>
      <c r="M1113">
        <f>F1113-G1113</f>
        <v/>
      </c>
      <c r="N1113" s="2">
        <f>M1113/F1113</f>
        <v/>
      </c>
      <c r="O1113" s="2">
        <f>I1113*J1113/60/M1113</f>
        <v/>
      </c>
      <c r="P1113" s="2">
        <f>K1113/J1113</f>
        <v/>
      </c>
      <c r="Q1113" s="2">
        <f>N1113*O1113*P1113</f>
        <v/>
      </c>
    </row>
    <row r="1114">
      <c r="A1114" t="inlineStr">
        <is>
          <t>2026-08-16</t>
        </is>
      </c>
      <c r="B1114" t="inlineStr">
        <is>
          <t>주간</t>
        </is>
      </c>
      <c r="C1114" t="inlineStr">
        <is>
          <t>P5</t>
        </is>
      </c>
      <c r="D1114" t="inlineStr">
        <is>
          <t>검사</t>
        </is>
      </c>
      <c r="E1114" t="inlineStr">
        <is>
          <t>IN-01</t>
        </is>
      </c>
      <c r="F1114" t="n">
        <v>480</v>
      </c>
      <c r="G1114" t="n">
        <v>12</v>
      </c>
      <c r="H1114" t="inlineStr">
        <is>
          <t>측정기 교정</t>
        </is>
      </c>
      <c r="I1114" t="n">
        <v>5.5</v>
      </c>
      <c r="J1114" t="n">
        <v>4806</v>
      </c>
      <c r="K1114" t="n">
        <v>4792</v>
      </c>
      <c r="L1114" t="inlineStr">
        <is>
          <t>L-0809</t>
        </is>
      </c>
      <c r="M1114">
        <f>F1114-G1114</f>
        <v/>
      </c>
      <c r="N1114" s="2">
        <f>M1114/F1114</f>
        <v/>
      </c>
      <c r="O1114" s="2">
        <f>I1114*J1114/60/M1114</f>
        <v/>
      </c>
      <c r="P1114" s="2">
        <f>K1114/J1114</f>
        <v/>
      </c>
      <c r="Q1114" s="2">
        <f>N1114*O1114*P1114</f>
        <v/>
      </c>
    </row>
    <row r="1115">
      <c r="A1115" t="inlineStr">
        <is>
          <t>2026-08-16</t>
        </is>
      </c>
      <c r="B1115" t="inlineStr">
        <is>
          <t>주간</t>
        </is>
      </c>
      <c r="C1115" t="inlineStr">
        <is>
          <t>P5</t>
        </is>
      </c>
      <c r="D1115" t="inlineStr">
        <is>
          <t>검사</t>
        </is>
      </c>
      <c r="E1115" t="inlineStr">
        <is>
          <t>IN-02</t>
        </is>
      </c>
      <c r="F1115" t="n">
        <v>480</v>
      </c>
      <c r="G1115" t="n">
        <v>34</v>
      </c>
      <c r="H1115" t="inlineStr">
        <is>
          <t>측정기 교정</t>
        </is>
      </c>
      <c r="I1115" t="n">
        <v>5.5</v>
      </c>
      <c r="J1115" t="n">
        <v>4577</v>
      </c>
      <c r="K1115" t="n">
        <v>4567</v>
      </c>
      <c r="L1115" t="inlineStr">
        <is>
          <t>L-0809</t>
        </is>
      </c>
      <c r="M1115">
        <f>F1115-G1115</f>
        <v/>
      </c>
      <c r="N1115" s="2">
        <f>M1115/F1115</f>
        <v/>
      </c>
      <c r="O1115" s="2">
        <f>I1115*J1115/60/M1115</f>
        <v/>
      </c>
      <c r="P1115" s="2">
        <f>K1115/J1115</f>
        <v/>
      </c>
      <c r="Q1115" s="2">
        <f>N1115*O1115*P1115</f>
        <v/>
      </c>
    </row>
    <row r="1116">
      <c r="A1116" t="inlineStr">
        <is>
          <t>2026-08-16</t>
        </is>
      </c>
      <c r="B1116" t="inlineStr">
        <is>
          <t>주간</t>
        </is>
      </c>
      <c r="C1116" t="inlineStr">
        <is>
          <t>P6</t>
        </is>
      </c>
      <c r="D1116" t="inlineStr">
        <is>
          <t>포장</t>
        </is>
      </c>
      <c r="E1116" t="inlineStr">
        <is>
          <t>PK-01</t>
        </is>
      </c>
      <c r="F1116" t="n">
        <v>480</v>
      </c>
      <c r="G1116" t="n">
        <v>5</v>
      </c>
      <c r="H1116" t="inlineStr">
        <is>
          <t>라벨 교체</t>
        </is>
      </c>
      <c r="I1116" t="n">
        <v>4.8</v>
      </c>
      <c r="J1116" t="n">
        <v>5485</v>
      </c>
      <c r="K1116" t="n">
        <v>5472</v>
      </c>
      <c r="L1116" t="inlineStr">
        <is>
          <t>L-0809</t>
        </is>
      </c>
      <c r="M1116">
        <f>F1116-G1116</f>
        <v/>
      </c>
      <c r="N1116" s="2">
        <f>M1116/F1116</f>
        <v/>
      </c>
      <c r="O1116" s="2">
        <f>I1116*J1116/60/M1116</f>
        <v/>
      </c>
      <c r="P1116" s="2">
        <f>K1116/J1116</f>
        <v/>
      </c>
      <c r="Q1116" s="2">
        <f>N1116*O1116*P1116</f>
        <v/>
      </c>
    </row>
    <row r="1117">
      <c r="A1117" t="inlineStr">
        <is>
          <t>2026-08-16</t>
        </is>
      </c>
      <c r="B1117" t="inlineStr">
        <is>
          <t>주간</t>
        </is>
      </c>
      <c r="C1117" t="inlineStr">
        <is>
          <t>P6</t>
        </is>
      </c>
      <c r="D1117" t="inlineStr">
        <is>
          <t>포장</t>
        </is>
      </c>
      <c r="E1117" t="inlineStr">
        <is>
          <t>PK-02</t>
        </is>
      </c>
      <c r="F1117" t="n">
        <v>480</v>
      </c>
      <c r="G1117" t="n">
        <v>7</v>
      </c>
      <c r="H1117" t="inlineStr">
        <is>
          <t>라벨 교체</t>
        </is>
      </c>
      <c r="I1117" t="n">
        <v>4.8</v>
      </c>
      <c r="J1117" t="n">
        <v>5320</v>
      </c>
      <c r="K1117" t="n">
        <v>5311</v>
      </c>
      <c r="L1117" t="inlineStr">
        <is>
          <t>L-0809</t>
        </is>
      </c>
      <c r="M1117">
        <f>F1117-G1117</f>
        <v/>
      </c>
      <c r="N1117" s="2">
        <f>M1117/F1117</f>
        <v/>
      </c>
      <c r="O1117" s="2">
        <f>I1117*J1117/60/M1117</f>
        <v/>
      </c>
      <c r="P1117" s="2">
        <f>K1117/J1117</f>
        <v/>
      </c>
      <c r="Q1117" s="2">
        <f>N1117*O1117*P1117</f>
        <v/>
      </c>
    </row>
    <row r="1118">
      <c r="A1118" t="inlineStr">
        <is>
          <t>2026-08-16</t>
        </is>
      </c>
      <c r="B1118" t="inlineStr">
        <is>
          <t>야간</t>
        </is>
      </c>
      <c r="C1118" t="inlineStr">
        <is>
          <t>P1</t>
        </is>
      </c>
      <c r="D1118" t="inlineStr">
        <is>
          <t>원료혼합</t>
        </is>
      </c>
      <c r="E1118" t="inlineStr">
        <is>
          <t>MX-01</t>
        </is>
      </c>
      <c r="F1118" t="n">
        <v>480</v>
      </c>
      <c r="G1118" t="n">
        <v>19</v>
      </c>
      <c r="H1118" t="inlineStr">
        <is>
          <t>청소</t>
        </is>
      </c>
      <c r="I1118" t="n">
        <v>5</v>
      </c>
      <c r="J1118" t="n">
        <v>5163</v>
      </c>
      <c r="K1118" t="n">
        <v>5129</v>
      </c>
      <c r="L1118" t="inlineStr">
        <is>
          <t>L-0809</t>
        </is>
      </c>
      <c r="M1118">
        <f>F1118-G1118</f>
        <v/>
      </c>
      <c r="N1118" s="2">
        <f>M1118/F1118</f>
        <v/>
      </c>
      <c r="O1118" s="2">
        <f>I1118*J1118/60/M1118</f>
        <v/>
      </c>
      <c r="P1118" s="2">
        <f>K1118/J1118</f>
        <v/>
      </c>
      <c r="Q1118" s="2">
        <f>N1118*O1118*P1118</f>
        <v/>
      </c>
    </row>
    <row r="1119">
      <c r="A1119" t="inlineStr">
        <is>
          <t>2026-08-16</t>
        </is>
      </c>
      <c r="B1119" t="inlineStr">
        <is>
          <t>야간</t>
        </is>
      </c>
      <c r="C1119" t="inlineStr">
        <is>
          <t>P1</t>
        </is>
      </c>
      <c r="D1119" t="inlineStr">
        <is>
          <t>원료혼합</t>
        </is>
      </c>
      <c r="E1119" t="inlineStr">
        <is>
          <t>MX-02</t>
        </is>
      </c>
      <c r="F1119" t="n">
        <v>480</v>
      </c>
      <c r="G1119" t="n">
        <v>25</v>
      </c>
      <c r="H1119" t="inlineStr">
        <is>
          <t>배합 확인</t>
        </is>
      </c>
      <c r="I1119" t="n">
        <v>5</v>
      </c>
      <c r="J1119" t="n">
        <v>4977</v>
      </c>
      <c r="K1119" t="n">
        <v>4946</v>
      </c>
      <c r="L1119" t="inlineStr">
        <is>
          <t>L-0809</t>
        </is>
      </c>
      <c r="M1119">
        <f>F1119-G1119</f>
        <v/>
      </c>
      <c r="N1119" s="2">
        <f>M1119/F1119</f>
        <v/>
      </c>
      <c r="O1119" s="2">
        <f>I1119*J1119/60/M1119</f>
        <v/>
      </c>
      <c r="P1119" s="2">
        <f>K1119/J1119</f>
        <v/>
      </c>
      <c r="Q1119" s="2">
        <f>N1119*O1119*P1119</f>
        <v/>
      </c>
    </row>
    <row r="1120">
      <c r="A1120" t="inlineStr">
        <is>
          <t>2026-08-16</t>
        </is>
      </c>
      <c r="B1120" t="inlineStr">
        <is>
          <t>야간</t>
        </is>
      </c>
      <c r="C1120" t="inlineStr">
        <is>
          <t>P2</t>
        </is>
      </c>
      <c r="D1120" t="inlineStr">
        <is>
          <t>성형</t>
        </is>
      </c>
      <c r="E1120" t="inlineStr">
        <is>
          <t>PR-01</t>
        </is>
      </c>
      <c r="F1120" t="n">
        <v>480</v>
      </c>
      <c r="G1120" t="n">
        <v>27</v>
      </c>
      <c r="H1120" t="inlineStr">
        <is>
          <t>압력 이상</t>
        </is>
      </c>
      <c r="I1120" t="n">
        <v>6</v>
      </c>
      <c r="J1120" t="n">
        <v>4361</v>
      </c>
      <c r="K1120" t="n">
        <v>4307</v>
      </c>
      <c r="L1120" t="inlineStr">
        <is>
          <t>L-0809</t>
        </is>
      </c>
      <c r="M1120">
        <f>F1120-G1120</f>
        <v/>
      </c>
      <c r="N1120" s="2">
        <f>M1120/F1120</f>
        <v/>
      </c>
      <c r="O1120" s="2">
        <f>I1120*J1120/60/M1120</f>
        <v/>
      </c>
      <c r="P1120" s="2">
        <f>K1120/J1120</f>
        <v/>
      </c>
      <c r="Q1120" s="2">
        <f>N1120*O1120*P1120</f>
        <v/>
      </c>
    </row>
    <row r="1121">
      <c r="A1121" t="inlineStr">
        <is>
          <t>2026-08-16</t>
        </is>
      </c>
      <c r="B1121" t="inlineStr">
        <is>
          <t>야간</t>
        </is>
      </c>
      <c r="C1121" t="inlineStr">
        <is>
          <t>P2</t>
        </is>
      </c>
      <c r="D1121" t="inlineStr">
        <is>
          <t>성형</t>
        </is>
      </c>
      <c r="E1121" t="inlineStr">
        <is>
          <t>PR-02</t>
        </is>
      </c>
      <c r="F1121" t="n">
        <v>480</v>
      </c>
      <c r="G1121" t="n">
        <v>21</v>
      </c>
      <c r="H1121" t="inlineStr">
        <is>
          <t>분말 공급 지연</t>
        </is>
      </c>
      <c r="I1121" t="n">
        <v>6</v>
      </c>
      <c r="J1121" t="n">
        <v>4173</v>
      </c>
      <c r="K1121" t="n">
        <v>4110</v>
      </c>
      <c r="L1121" t="inlineStr">
        <is>
          <t>L-0809</t>
        </is>
      </c>
      <c r="M1121">
        <f>F1121-G1121</f>
        <v/>
      </c>
      <c r="N1121" s="2">
        <f>M1121/F1121</f>
        <v/>
      </c>
      <c r="O1121" s="2">
        <f>I1121*J1121/60/M1121</f>
        <v/>
      </c>
      <c r="P1121" s="2">
        <f>K1121/J1121</f>
        <v/>
      </c>
      <c r="Q1121" s="2">
        <f>N1121*O1121*P1121</f>
        <v/>
      </c>
    </row>
    <row r="1122">
      <c r="A1122" t="inlineStr">
        <is>
          <t>2026-08-16</t>
        </is>
      </c>
      <c r="B1122" t="inlineStr">
        <is>
          <t>야간</t>
        </is>
      </c>
      <c r="C1122" t="inlineStr">
        <is>
          <t>P3</t>
        </is>
      </c>
      <c r="D1122" t="inlineStr">
        <is>
          <t>소결</t>
        </is>
      </c>
      <c r="E1122" t="inlineStr">
        <is>
          <t>SF-01</t>
        </is>
      </c>
      <c r="F1122" t="n">
        <v>480</v>
      </c>
      <c r="G1122" t="n">
        <v>41</v>
      </c>
      <c r="H1122" t="inlineStr">
        <is>
          <t>장입 대기</t>
        </is>
      </c>
      <c r="I1122" t="n">
        <v>6.5</v>
      </c>
      <c r="J1122" t="n">
        <v>3567</v>
      </c>
      <c r="K1122" t="n">
        <v>3432</v>
      </c>
      <c r="L1122" t="inlineStr">
        <is>
          <t>L-0809</t>
        </is>
      </c>
      <c r="M1122">
        <f>F1122-G1122</f>
        <v/>
      </c>
      <c r="N1122" s="2">
        <f>M1122/F1122</f>
        <v/>
      </c>
      <c r="O1122" s="2">
        <f>I1122*J1122/60/M1122</f>
        <v/>
      </c>
      <c r="P1122" s="2">
        <f>K1122/J1122</f>
        <v/>
      </c>
      <c r="Q1122" s="2">
        <f>N1122*O1122*P1122</f>
        <v/>
      </c>
    </row>
    <row r="1123">
      <c r="A1123" t="inlineStr">
        <is>
          <t>2026-08-16</t>
        </is>
      </c>
      <c r="B1123" t="inlineStr">
        <is>
          <t>야간</t>
        </is>
      </c>
      <c r="C1123" t="inlineStr">
        <is>
          <t>P3</t>
        </is>
      </c>
      <c r="D1123" t="inlineStr">
        <is>
          <t>소결</t>
        </is>
      </c>
      <c r="E1123" t="inlineStr">
        <is>
          <t>SF-02</t>
        </is>
      </c>
      <c r="F1123" t="n">
        <v>480</v>
      </c>
      <c r="G1123" t="n">
        <v>147</v>
      </c>
      <c r="H1123" t="inlineStr">
        <is>
          <t>온도 이상 정지</t>
        </is>
      </c>
      <c r="I1123" t="n">
        <v>6.5</v>
      </c>
      <c r="J1123" t="n">
        <v>2676</v>
      </c>
      <c r="K1123" t="n">
        <v>2513</v>
      </c>
      <c r="L1123" t="inlineStr">
        <is>
          <t>L-0809</t>
        </is>
      </c>
      <c r="M1123">
        <f>F1123-G1123</f>
        <v/>
      </c>
      <c r="N1123" s="2">
        <f>M1123/F1123</f>
        <v/>
      </c>
      <c r="O1123" s="2">
        <f>I1123*J1123/60/M1123</f>
        <v/>
      </c>
      <c r="P1123" s="2">
        <f>K1123/J1123</f>
        <v/>
      </c>
      <c r="Q1123" s="2">
        <f>N1123*O1123*P1123</f>
        <v/>
      </c>
    </row>
    <row r="1124">
      <c r="A1124" t="inlineStr">
        <is>
          <t>2026-08-16</t>
        </is>
      </c>
      <c r="B1124" t="inlineStr">
        <is>
          <t>야간</t>
        </is>
      </c>
      <c r="C1124" t="inlineStr">
        <is>
          <t>P4</t>
        </is>
      </c>
      <c r="D1124" t="inlineStr">
        <is>
          <t>연삭</t>
        </is>
      </c>
      <c r="E1124" t="inlineStr">
        <is>
          <t>GR-01</t>
        </is>
      </c>
      <c r="F1124" t="n">
        <v>480</v>
      </c>
      <c r="G1124" t="n">
        <v>44</v>
      </c>
      <c r="H1124" t="inlineStr">
        <is>
          <t>공구 교체</t>
        </is>
      </c>
      <c r="I1124" t="n">
        <v>6.2</v>
      </c>
      <c r="J1124" t="n">
        <v>4015</v>
      </c>
      <c r="K1124" t="n">
        <v>3967</v>
      </c>
      <c r="L1124" t="inlineStr">
        <is>
          <t>L-0809</t>
        </is>
      </c>
      <c r="M1124">
        <f>F1124-G1124</f>
        <v/>
      </c>
      <c r="N1124" s="2">
        <f>M1124/F1124</f>
        <v/>
      </c>
      <c r="O1124" s="2">
        <f>I1124*J1124/60/M1124</f>
        <v/>
      </c>
      <c r="P1124" s="2">
        <f>K1124/J1124</f>
        <v/>
      </c>
      <c r="Q1124" s="2">
        <f>N1124*O1124*P1124</f>
        <v/>
      </c>
    </row>
    <row r="1125">
      <c r="A1125" t="inlineStr">
        <is>
          <t>2026-08-16</t>
        </is>
      </c>
      <c r="B1125" t="inlineStr">
        <is>
          <t>야간</t>
        </is>
      </c>
      <c r="C1125" t="inlineStr">
        <is>
          <t>P4</t>
        </is>
      </c>
      <c r="D1125" t="inlineStr">
        <is>
          <t>연삭</t>
        </is>
      </c>
      <c r="E1125" t="inlineStr">
        <is>
          <t>GR-02</t>
        </is>
      </c>
      <c r="F1125" t="n">
        <v>480</v>
      </c>
      <c r="G1125" t="n">
        <v>45</v>
      </c>
      <c r="H1125" t="inlineStr">
        <is>
          <t>드레싱</t>
        </is>
      </c>
      <c r="I1125" t="n">
        <v>6.2</v>
      </c>
      <c r="J1125" t="n">
        <v>3867</v>
      </c>
      <c r="K1125" t="n">
        <v>3822</v>
      </c>
      <c r="L1125" t="inlineStr">
        <is>
          <t>L-0809</t>
        </is>
      </c>
      <c r="M1125">
        <f>F1125-G1125</f>
        <v/>
      </c>
      <c r="N1125" s="2">
        <f>M1125/F1125</f>
        <v/>
      </c>
      <c r="O1125" s="2">
        <f>I1125*J1125/60/M1125</f>
        <v/>
      </c>
      <c r="P1125" s="2">
        <f>K1125/J1125</f>
        <v/>
      </c>
      <c r="Q1125" s="2">
        <f>N1125*O1125*P1125</f>
        <v/>
      </c>
    </row>
    <row r="1126">
      <c r="A1126" t="inlineStr">
        <is>
          <t>2026-08-16</t>
        </is>
      </c>
      <c r="B1126" t="inlineStr">
        <is>
          <t>야간</t>
        </is>
      </c>
      <c r="C1126" t="inlineStr">
        <is>
          <t>P5</t>
        </is>
      </c>
      <c r="D1126" t="inlineStr">
        <is>
          <t>검사</t>
        </is>
      </c>
      <c r="E1126" t="inlineStr">
        <is>
          <t>IN-01</t>
        </is>
      </c>
      <c r="F1126" t="n">
        <v>480</v>
      </c>
      <c r="G1126" t="n">
        <v>42</v>
      </c>
      <c r="H1126" t="inlineStr">
        <is>
          <t>측정기 교정</t>
        </is>
      </c>
      <c r="I1126" t="n">
        <v>5.5</v>
      </c>
      <c r="J1126" t="n">
        <v>4421</v>
      </c>
      <c r="K1126" t="n">
        <v>4403</v>
      </c>
      <c r="L1126" t="inlineStr">
        <is>
          <t>L-0809</t>
        </is>
      </c>
      <c r="M1126">
        <f>F1126-G1126</f>
        <v/>
      </c>
      <c r="N1126" s="2">
        <f>M1126/F1126</f>
        <v/>
      </c>
      <c r="O1126" s="2">
        <f>I1126*J1126/60/M1126</f>
        <v/>
      </c>
      <c r="P1126" s="2">
        <f>K1126/J1126</f>
        <v/>
      </c>
      <c r="Q1126" s="2">
        <f>N1126*O1126*P1126</f>
        <v/>
      </c>
    </row>
    <row r="1127">
      <c r="A1127" t="inlineStr">
        <is>
          <t>2026-08-16</t>
        </is>
      </c>
      <c r="B1127" t="inlineStr">
        <is>
          <t>야간</t>
        </is>
      </c>
      <c r="C1127" t="inlineStr">
        <is>
          <t>P5</t>
        </is>
      </c>
      <c r="D1127" t="inlineStr">
        <is>
          <t>검사</t>
        </is>
      </c>
      <c r="E1127" t="inlineStr">
        <is>
          <t>IN-02</t>
        </is>
      </c>
      <c r="F1127" t="n">
        <v>480</v>
      </c>
      <c r="G1127" t="n">
        <v>41</v>
      </c>
      <c r="H1127" t="inlineStr">
        <is>
          <t>샘플 재검</t>
        </is>
      </c>
      <c r="I1127" t="n">
        <v>5.5</v>
      </c>
      <c r="J1127" t="n">
        <v>4367</v>
      </c>
      <c r="K1127" t="n">
        <v>4353</v>
      </c>
      <c r="L1127" t="inlineStr">
        <is>
          <t>L-0809</t>
        </is>
      </c>
      <c r="M1127">
        <f>F1127-G1127</f>
        <v/>
      </c>
      <c r="N1127" s="2">
        <f>M1127/F1127</f>
        <v/>
      </c>
      <c r="O1127" s="2">
        <f>I1127*J1127/60/M1127</f>
        <v/>
      </c>
      <c r="P1127" s="2">
        <f>K1127/J1127</f>
        <v/>
      </c>
      <c r="Q1127" s="2">
        <f>N1127*O1127*P1127</f>
        <v/>
      </c>
    </row>
    <row r="1128">
      <c r="A1128" t="inlineStr">
        <is>
          <t>2026-08-16</t>
        </is>
      </c>
      <c r="B1128" t="inlineStr">
        <is>
          <t>야간</t>
        </is>
      </c>
      <c r="C1128" t="inlineStr">
        <is>
          <t>P6</t>
        </is>
      </c>
      <c r="D1128" t="inlineStr">
        <is>
          <t>포장</t>
        </is>
      </c>
      <c r="E1128" t="inlineStr">
        <is>
          <t>PK-01</t>
        </is>
      </c>
      <c r="F1128" t="n">
        <v>480</v>
      </c>
      <c r="G1128" t="n">
        <v>27</v>
      </c>
      <c r="H1128" t="inlineStr">
        <is>
          <t>라벨 교체</t>
        </is>
      </c>
      <c r="I1128" t="n">
        <v>4.8</v>
      </c>
      <c r="J1128" t="n">
        <v>5283</v>
      </c>
      <c r="K1128" t="n">
        <v>5267</v>
      </c>
      <c r="L1128" t="inlineStr">
        <is>
          <t>L-0809</t>
        </is>
      </c>
      <c r="M1128">
        <f>F1128-G1128</f>
        <v/>
      </c>
      <c r="N1128" s="2">
        <f>M1128/F1128</f>
        <v/>
      </c>
      <c r="O1128" s="2">
        <f>I1128*J1128/60/M1128</f>
        <v/>
      </c>
      <c r="P1128" s="2">
        <f>K1128/J1128</f>
        <v/>
      </c>
      <c r="Q1128" s="2">
        <f>N1128*O1128*P1128</f>
        <v/>
      </c>
    </row>
    <row r="1129">
      <c r="A1129" t="inlineStr">
        <is>
          <t>2026-08-16</t>
        </is>
      </c>
      <c r="B1129" t="inlineStr">
        <is>
          <t>야간</t>
        </is>
      </c>
      <c r="C1129" t="inlineStr">
        <is>
          <t>P6</t>
        </is>
      </c>
      <c r="D1129" t="inlineStr">
        <is>
          <t>포장</t>
        </is>
      </c>
      <c r="E1129" t="inlineStr">
        <is>
          <t>PK-02</t>
        </is>
      </c>
      <c r="F1129" t="n">
        <v>480</v>
      </c>
      <c r="G1129" t="n">
        <v>16</v>
      </c>
      <c r="H1129" t="inlineStr">
        <is>
          <t>라벨 교체</t>
        </is>
      </c>
      <c r="I1129" t="n">
        <v>4.8</v>
      </c>
      <c r="J1129" t="n">
        <v>5517</v>
      </c>
      <c r="K1129" t="n">
        <v>5502</v>
      </c>
      <c r="L1129" t="inlineStr">
        <is>
          <t>L-0809</t>
        </is>
      </c>
      <c r="M1129">
        <f>F1129-G1129</f>
        <v/>
      </c>
      <c r="N1129" s="2">
        <f>M1129/F1129</f>
        <v/>
      </c>
      <c r="O1129" s="2">
        <f>I1129*J1129/60/M1129</f>
        <v/>
      </c>
      <c r="P1129" s="2">
        <f>K1129/J1129</f>
        <v/>
      </c>
      <c r="Q1129" s="2">
        <f>N1129*O1129*P1129</f>
        <v/>
      </c>
    </row>
    <row r="1130">
      <c r="A1130" t="inlineStr">
        <is>
          <t>2026-08-17</t>
        </is>
      </c>
      <c r="B1130" t="inlineStr">
        <is>
          <t>주간</t>
        </is>
      </c>
      <c r="C1130" t="inlineStr">
        <is>
          <t>P1</t>
        </is>
      </c>
      <c r="D1130" t="inlineStr">
        <is>
          <t>원료혼합</t>
        </is>
      </c>
      <c r="E1130" t="inlineStr">
        <is>
          <t>MX-01</t>
        </is>
      </c>
      <c r="F1130" t="n">
        <v>480</v>
      </c>
      <c r="G1130" t="n">
        <v>22</v>
      </c>
      <c r="H1130" t="inlineStr">
        <is>
          <t>배합 확인</t>
        </is>
      </c>
      <c r="I1130" t="n">
        <v>5</v>
      </c>
      <c r="J1130" t="n">
        <v>5173</v>
      </c>
      <c r="K1130" t="n">
        <v>5141</v>
      </c>
      <c r="L1130" t="inlineStr">
        <is>
          <t>L-0809</t>
        </is>
      </c>
      <c r="M1130">
        <f>F1130-G1130</f>
        <v/>
      </c>
      <c r="N1130" s="2">
        <f>M1130/F1130</f>
        <v/>
      </c>
      <c r="O1130" s="2">
        <f>I1130*J1130/60/M1130</f>
        <v/>
      </c>
      <c r="P1130" s="2">
        <f>K1130/J1130</f>
        <v/>
      </c>
      <c r="Q1130" s="2">
        <f>N1130*O1130*P1130</f>
        <v/>
      </c>
    </row>
    <row r="1131">
      <c r="A1131" t="inlineStr">
        <is>
          <t>2026-08-17</t>
        </is>
      </c>
      <c r="B1131" t="inlineStr">
        <is>
          <t>주간</t>
        </is>
      </c>
      <c r="C1131" t="inlineStr">
        <is>
          <t>P1</t>
        </is>
      </c>
      <c r="D1131" t="inlineStr">
        <is>
          <t>원료혼합</t>
        </is>
      </c>
      <c r="E1131" t="inlineStr">
        <is>
          <t>MX-02</t>
        </is>
      </c>
      <c r="F1131" t="n">
        <v>480</v>
      </c>
      <c r="G1131" t="n">
        <v>8</v>
      </c>
      <c r="H1131" t="inlineStr">
        <is>
          <t>배합 확인</t>
        </is>
      </c>
      <c r="I1131" t="n">
        <v>5</v>
      </c>
      <c r="J1131" t="n">
        <v>5419</v>
      </c>
      <c r="K1131" t="n">
        <v>5390</v>
      </c>
      <c r="L1131" t="inlineStr">
        <is>
          <t>L-0809</t>
        </is>
      </c>
      <c r="M1131">
        <f>F1131-G1131</f>
        <v/>
      </c>
      <c r="N1131" s="2">
        <f>M1131/F1131</f>
        <v/>
      </c>
      <c r="O1131" s="2">
        <f>I1131*J1131/60/M1131</f>
        <v/>
      </c>
      <c r="P1131" s="2">
        <f>K1131/J1131</f>
        <v/>
      </c>
      <c r="Q1131" s="2">
        <f>N1131*O1131*P1131</f>
        <v/>
      </c>
    </row>
    <row r="1132">
      <c r="A1132" t="inlineStr">
        <is>
          <t>2026-08-17</t>
        </is>
      </c>
      <c r="B1132" t="inlineStr">
        <is>
          <t>주간</t>
        </is>
      </c>
      <c r="C1132" t="inlineStr">
        <is>
          <t>P2</t>
        </is>
      </c>
      <c r="D1132" t="inlineStr">
        <is>
          <t>성형</t>
        </is>
      </c>
      <c r="E1132" t="inlineStr">
        <is>
          <t>PR-01</t>
        </is>
      </c>
      <c r="F1132" t="n">
        <v>480</v>
      </c>
      <c r="G1132" t="n">
        <v>25</v>
      </c>
      <c r="H1132" t="inlineStr">
        <is>
          <t>금형 교체</t>
        </is>
      </c>
      <c r="I1132" t="n">
        <v>6</v>
      </c>
      <c r="J1132" t="n">
        <v>4397</v>
      </c>
      <c r="K1132" t="n">
        <v>4316</v>
      </c>
      <c r="L1132" t="inlineStr">
        <is>
          <t>L-0809</t>
        </is>
      </c>
      <c r="M1132">
        <f>F1132-G1132</f>
        <v/>
      </c>
      <c r="N1132" s="2">
        <f>M1132/F1132</f>
        <v/>
      </c>
      <c r="O1132" s="2">
        <f>I1132*J1132/60/M1132</f>
        <v/>
      </c>
      <c r="P1132" s="2">
        <f>K1132/J1132</f>
        <v/>
      </c>
      <c r="Q1132" s="2">
        <f>N1132*O1132*P1132</f>
        <v/>
      </c>
    </row>
    <row r="1133">
      <c r="A1133" t="inlineStr">
        <is>
          <t>2026-08-17</t>
        </is>
      </c>
      <c r="B1133" t="inlineStr">
        <is>
          <t>주간</t>
        </is>
      </c>
      <c r="C1133" t="inlineStr">
        <is>
          <t>P2</t>
        </is>
      </c>
      <c r="D1133" t="inlineStr">
        <is>
          <t>성형</t>
        </is>
      </c>
      <c r="E1133" t="inlineStr">
        <is>
          <t>PR-02</t>
        </is>
      </c>
      <c r="F1133" t="n">
        <v>480</v>
      </c>
      <c r="G1133" t="n">
        <v>4</v>
      </c>
      <c r="H1133" t="inlineStr">
        <is>
          <t>압력 이상</t>
        </is>
      </c>
      <c r="I1133" t="n">
        <v>6</v>
      </c>
      <c r="J1133" t="n">
        <v>4414</v>
      </c>
      <c r="K1133" t="n">
        <v>4351</v>
      </c>
      <c r="L1133" t="inlineStr">
        <is>
          <t>L-0809</t>
        </is>
      </c>
      <c r="M1133">
        <f>F1133-G1133</f>
        <v/>
      </c>
      <c r="N1133" s="2">
        <f>M1133/F1133</f>
        <v/>
      </c>
      <c r="O1133" s="2">
        <f>I1133*J1133/60/M1133</f>
        <v/>
      </c>
      <c r="P1133" s="2">
        <f>K1133/J1133</f>
        <v/>
      </c>
      <c r="Q1133" s="2">
        <f>N1133*O1133*P1133</f>
        <v/>
      </c>
    </row>
    <row r="1134">
      <c r="A1134" t="inlineStr">
        <is>
          <t>2026-08-17</t>
        </is>
      </c>
      <c r="B1134" t="inlineStr">
        <is>
          <t>주간</t>
        </is>
      </c>
      <c r="C1134" t="inlineStr">
        <is>
          <t>P3</t>
        </is>
      </c>
      <c r="D1134" t="inlineStr">
        <is>
          <t>소결</t>
        </is>
      </c>
      <c r="E1134" t="inlineStr">
        <is>
          <t>SF-01</t>
        </is>
      </c>
      <c r="F1134" t="n">
        <v>480</v>
      </c>
      <c r="G1134" t="n">
        <v>21</v>
      </c>
      <c r="H1134" t="inlineStr">
        <is>
          <t>온도 이상 정지</t>
        </is>
      </c>
      <c r="I1134" t="n">
        <v>6.5</v>
      </c>
      <c r="J1134" t="n">
        <v>4026</v>
      </c>
      <c r="K1134" t="n">
        <v>3948</v>
      </c>
      <c r="L1134" t="inlineStr">
        <is>
          <t>L-0809</t>
        </is>
      </c>
      <c r="M1134">
        <f>F1134-G1134</f>
        <v/>
      </c>
      <c r="N1134" s="2">
        <f>M1134/F1134</f>
        <v/>
      </c>
      <c r="O1134" s="2">
        <f>I1134*J1134/60/M1134</f>
        <v/>
      </c>
      <c r="P1134" s="2">
        <f>K1134/J1134</f>
        <v/>
      </c>
      <c r="Q1134" s="2">
        <f>N1134*O1134*P1134</f>
        <v/>
      </c>
    </row>
    <row r="1135">
      <c r="A1135" t="inlineStr">
        <is>
          <t>2026-08-17</t>
        </is>
      </c>
      <c r="B1135" t="inlineStr">
        <is>
          <t>주간</t>
        </is>
      </c>
      <c r="C1135" t="inlineStr">
        <is>
          <t>P3</t>
        </is>
      </c>
      <c r="D1135" t="inlineStr">
        <is>
          <t>소결</t>
        </is>
      </c>
      <c r="E1135" t="inlineStr">
        <is>
          <t>SF-02</t>
        </is>
      </c>
      <c r="F1135" t="n">
        <v>480</v>
      </c>
      <c r="G1135" t="n">
        <v>121</v>
      </c>
      <c r="H1135" t="inlineStr">
        <is>
          <t>재가열</t>
        </is>
      </c>
      <c r="I1135" t="n">
        <v>6.5</v>
      </c>
      <c r="J1135" t="n">
        <v>2877</v>
      </c>
      <c r="K1135" t="n">
        <v>2695</v>
      </c>
      <c r="L1135" t="inlineStr">
        <is>
          <t>L-0809</t>
        </is>
      </c>
      <c r="M1135">
        <f>F1135-G1135</f>
        <v/>
      </c>
      <c r="N1135" s="2">
        <f>M1135/F1135</f>
        <v/>
      </c>
      <c r="O1135" s="2">
        <f>I1135*J1135/60/M1135</f>
        <v/>
      </c>
      <c r="P1135" s="2">
        <f>K1135/J1135</f>
        <v/>
      </c>
      <c r="Q1135" s="2">
        <f>N1135*O1135*P1135</f>
        <v/>
      </c>
    </row>
    <row r="1136">
      <c r="A1136" t="inlineStr">
        <is>
          <t>2026-08-17</t>
        </is>
      </c>
      <c r="B1136" t="inlineStr">
        <is>
          <t>주간</t>
        </is>
      </c>
      <c r="C1136" t="inlineStr">
        <is>
          <t>P4</t>
        </is>
      </c>
      <c r="D1136" t="inlineStr">
        <is>
          <t>연삭</t>
        </is>
      </c>
      <c r="E1136" t="inlineStr">
        <is>
          <t>GR-01</t>
        </is>
      </c>
      <c r="F1136" t="n">
        <v>480</v>
      </c>
      <c r="G1136" t="n">
        <v>83</v>
      </c>
      <c r="H1136" t="inlineStr">
        <is>
          <t>공구 교체</t>
        </is>
      </c>
      <c r="I1136" t="n">
        <v>6.2</v>
      </c>
      <c r="J1136" t="n">
        <v>3653</v>
      </c>
      <c r="K1136" t="n">
        <v>3622</v>
      </c>
      <c r="L1136" t="inlineStr">
        <is>
          <t>L-0809</t>
        </is>
      </c>
      <c r="M1136">
        <f>F1136-G1136</f>
        <v/>
      </c>
      <c r="N1136" s="2">
        <f>M1136/F1136</f>
        <v/>
      </c>
      <c r="O1136" s="2">
        <f>I1136*J1136/60/M1136</f>
        <v/>
      </c>
      <c r="P1136" s="2">
        <f>K1136/J1136</f>
        <v/>
      </c>
      <c r="Q1136" s="2">
        <f>N1136*O1136*P1136</f>
        <v/>
      </c>
    </row>
    <row r="1137">
      <c r="A1137" t="inlineStr">
        <is>
          <t>2026-08-17</t>
        </is>
      </c>
      <c r="B1137" t="inlineStr">
        <is>
          <t>주간</t>
        </is>
      </c>
      <c r="C1137" t="inlineStr">
        <is>
          <t>P4</t>
        </is>
      </c>
      <c r="D1137" t="inlineStr">
        <is>
          <t>연삭</t>
        </is>
      </c>
      <c r="E1137" t="inlineStr">
        <is>
          <t>GR-02</t>
        </is>
      </c>
      <c r="F1137" t="n">
        <v>480</v>
      </c>
      <c r="G1137" t="n">
        <v>66</v>
      </c>
      <c r="H1137" t="inlineStr">
        <is>
          <t>공구 교체</t>
        </is>
      </c>
      <c r="I1137" t="n">
        <v>6.2</v>
      </c>
      <c r="J1137" t="n">
        <v>3761</v>
      </c>
      <c r="K1137" t="n">
        <v>3729</v>
      </c>
      <c r="L1137" t="inlineStr">
        <is>
          <t>L-0809</t>
        </is>
      </c>
      <c r="M1137">
        <f>F1137-G1137</f>
        <v/>
      </c>
      <c r="N1137" s="2">
        <f>M1137/F1137</f>
        <v/>
      </c>
      <c r="O1137" s="2">
        <f>I1137*J1137/60/M1137</f>
        <v/>
      </c>
      <c r="P1137" s="2">
        <f>K1137/J1137</f>
        <v/>
      </c>
      <c r="Q1137" s="2">
        <f>N1137*O1137*P1137</f>
        <v/>
      </c>
    </row>
    <row r="1138">
      <c r="A1138" t="inlineStr">
        <is>
          <t>2026-08-17</t>
        </is>
      </c>
      <c r="B1138" t="inlineStr">
        <is>
          <t>주간</t>
        </is>
      </c>
      <c r="C1138" t="inlineStr">
        <is>
          <t>P5</t>
        </is>
      </c>
      <c r="D1138" t="inlineStr">
        <is>
          <t>검사</t>
        </is>
      </c>
      <c r="E1138" t="inlineStr">
        <is>
          <t>IN-01</t>
        </is>
      </c>
      <c r="F1138" t="n">
        <v>480</v>
      </c>
      <c r="G1138" t="n">
        <v>8</v>
      </c>
      <c r="H1138" t="inlineStr">
        <is>
          <t>측정기 교정</t>
        </is>
      </c>
      <c r="I1138" t="n">
        <v>5.5</v>
      </c>
      <c r="J1138" t="n">
        <v>5042</v>
      </c>
      <c r="K1138" t="n">
        <v>5027</v>
      </c>
      <c r="L1138" t="inlineStr">
        <is>
          <t>L-0809</t>
        </is>
      </c>
      <c r="M1138">
        <f>F1138-G1138</f>
        <v/>
      </c>
      <c r="N1138" s="2">
        <f>M1138/F1138</f>
        <v/>
      </c>
      <c r="O1138" s="2">
        <f>I1138*J1138/60/M1138</f>
        <v/>
      </c>
      <c r="P1138" s="2">
        <f>K1138/J1138</f>
        <v/>
      </c>
      <c r="Q1138" s="2">
        <f>N1138*O1138*P1138</f>
        <v/>
      </c>
    </row>
    <row r="1139">
      <c r="A1139" t="inlineStr">
        <is>
          <t>2026-08-17</t>
        </is>
      </c>
      <c r="B1139" t="inlineStr">
        <is>
          <t>주간</t>
        </is>
      </c>
      <c r="C1139" t="inlineStr">
        <is>
          <t>P5</t>
        </is>
      </c>
      <c r="D1139" t="inlineStr">
        <is>
          <t>검사</t>
        </is>
      </c>
      <c r="E1139" t="inlineStr">
        <is>
          <t>IN-02</t>
        </is>
      </c>
      <c r="F1139" t="n">
        <v>480</v>
      </c>
      <c r="G1139" t="n">
        <v>38</v>
      </c>
      <c r="H1139" t="inlineStr">
        <is>
          <t>측정기 교정</t>
        </is>
      </c>
      <c r="I1139" t="n">
        <v>5.5</v>
      </c>
      <c r="J1139" t="n">
        <v>4332</v>
      </c>
      <c r="K1139" t="n">
        <v>4321</v>
      </c>
      <c r="L1139" t="inlineStr">
        <is>
          <t>L-0809</t>
        </is>
      </c>
      <c r="M1139">
        <f>F1139-G1139</f>
        <v/>
      </c>
      <c r="N1139" s="2">
        <f>M1139/F1139</f>
        <v/>
      </c>
      <c r="O1139" s="2">
        <f>I1139*J1139/60/M1139</f>
        <v/>
      </c>
      <c r="P1139" s="2">
        <f>K1139/J1139</f>
        <v/>
      </c>
      <c r="Q1139" s="2">
        <f>N1139*O1139*P1139</f>
        <v/>
      </c>
    </row>
    <row r="1140">
      <c r="A1140" t="inlineStr">
        <is>
          <t>2026-08-17</t>
        </is>
      </c>
      <c r="B1140" t="inlineStr">
        <is>
          <t>주간</t>
        </is>
      </c>
      <c r="C1140" t="inlineStr">
        <is>
          <t>P6</t>
        </is>
      </c>
      <c r="D1140" t="inlineStr">
        <is>
          <t>포장</t>
        </is>
      </c>
      <c r="E1140" t="inlineStr">
        <is>
          <t>PK-01</t>
        </is>
      </c>
      <c r="F1140" t="n">
        <v>480</v>
      </c>
      <c r="G1140" t="n">
        <v>29</v>
      </c>
      <c r="H1140" t="inlineStr">
        <is>
          <t>라벨 교체</t>
        </is>
      </c>
      <c r="I1140" t="n">
        <v>4.8</v>
      </c>
      <c r="J1140" t="n">
        <v>5156</v>
      </c>
      <c r="K1140" t="n">
        <v>5144</v>
      </c>
      <c r="L1140" t="inlineStr">
        <is>
          <t>L-0809</t>
        </is>
      </c>
      <c r="M1140">
        <f>F1140-G1140</f>
        <v/>
      </c>
      <c r="N1140" s="2">
        <f>M1140/F1140</f>
        <v/>
      </c>
      <c r="O1140" s="2">
        <f>I1140*J1140/60/M1140</f>
        <v/>
      </c>
      <c r="P1140" s="2">
        <f>K1140/J1140</f>
        <v/>
      </c>
      <c r="Q1140" s="2">
        <f>N1140*O1140*P1140</f>
        <v/>
      </c>
    </row>
    <row r="1141">
      <c r="A1141" t="inlineStr">
        <is>
          <t>2026-08-17</t>
        </is>
      </c>
      <c r="B1141" t="inlineStr">
        <is>
          <t>주간</t>
        </is>
      </c>
      <c r="C1141" t="inlineStr">
        <is>
          <t>P6</t>
        </is>
      </c>
      <c r="D1141" t="inlineStr">
        <is>
          <t>포장</t>
        </is>
      </c>
      <c r="E1141" t="inlineStr">
        <is>
          <t>PK-02</t>
        </is>
      </c>
      <c r="F1141" t="n">
        <v>480</v>
      </c>
      <c r="G1141" t="n">
        <v>5</v>
      </c>
      <c r="H1141" t="inlineStr">
        <is>
          <t>자재 대기</t>
        </is>
      </c>
      <c r="I1141" t="n">
        <v>4.8</v>
      </c>
      <c r="J1141" t="n">
        <v>5351</v>
      </c>
      <c r="K1141" t="n">
        <v>5342</v>
      </c>
      <c r="L1141" t="inlineStr">
        <is>
          <t>L-0809</t>
        </is>
      </c>
      <c r="M1141">
        <f>F1141-G1141</f>
        <v/>
      </c>
      <c r="N1141" s="2">
        <f>M1141/F1141</f>
        <v/>
      </c>
      <c r="O1141" s="2">
        <f>I1141*J1141/60/M1141</f>
        <v/>
      </c>
      <c r="P1141" s="2">
        <f>K1141/J1141</f>
        <v/>
      </c>
      <c r="Q1141" s="2">
        <f>N1141*O1141*P1141</f>
        <v/>
      </c>
    </row>
    <row r="1142">
      <c r="A1142" t="inlineStr">
        <is>
          <t>2026-08-17</t>
        </is>
      </c>
      <c r="B1142" t="inlineStr">
        <is>
          <t>야간</t>
        </is>
      </c>
      <c r="C1142" t="inlineStr">
        <is>
          <t>P1</t>
        </is>
      </c>
      <c r="D1142" t="inlineStr">
        <is>
          <t>원료혼합</t>
        </is>
      </c>
      <c r="E1142" t="inlineStr">
        <is>
          <t>MX-01</t>
        </is>
      </c>
      <c r="F1142" t="n">
        <v>480</v>
      </c>
      <c r="G1142" t="n">
        <v>14</v>
      </c>
      <c r="H1142" t="inlineStr">
        <is>
          <t>배합 확인</t>
        </is>
      </c>
      <c r="I1142" t="n">
        <v>5</v>
      </c>
      <c r="J1142" t="n">
        <v>5197</v>
      </c>
      <c r="K1142" t="n">
        <v>5152</v>
      </c>
      <c r="L1142" t="inlineStr">
        <is>
          <t>L-0809</t>
        </is>
      </c>
      <c r="M1142">
        <f>F1142-G1142</f>
        <v/>
      </c>
      <c r="N1142" s="2">
        <f>M1142/F1142</f>
        <v/>
      </c>
      <c r="O1142" s="2">
        <f>I1142*J1142/60/M1142</f>
        <v/>
      </c>
      <c r="P1142" s="2">
        <f>K1142/J1142</f>
        <v/>
      </c>
      <c r="Q1142" s="2">
        <f>N1142*O1142*P1142</f>
        <v/>
      </c>
    </row>
    <row r="1143">
      <c r="A1143" t="inlineStr">
        <is>
          <t>2026-08-17</t>
        </is>
      </c>
      <c r="B1143" t="inlineStr">
        <is>
          <t>야간</t>
        </is>
      </c>
      <c r="C1143" t="inlineStr">
        <is>
          <t>P1</t>
        </is>
      </c>
      <c r="D1143" t="inlineStr">
        <is>
          <t>원료혼합</t>
        </is>
      </c>
      <c r="E1143" t="inlineStr">
        <is>
          <t>MX-02</t>
        </is>
      </c>
      <c r="F1143" t="n">
        <v>480</v>
      </c>
      <c r="G1143" t="n">
        <v>16</v>
      </c>
      <c r="H1143" t="inlineStr">
        <is>
          <t>원료 대기</t>
        </is>
      </c>
      <c r="I1143" t="n">
        <v>5</v>
      </c>
      <c r="J1143" t="n">
        <v>5110</v>
      </c>
      <c r="K1143" t="n">
        <v>5076</v>
      </c>
      <c r="L1143" t="inlineStr">
        <is>
          <t>L-0809</t>
        </is>
      </c>
      <c r="M1143">
        <f>F1143-G1143</f>
        <v/>
      </c>
      <c r="N1143" s="2">
        <f>M1143/F1143</f>
        <v/>
      </c>
      <c r="O1143" s="2">
        <f>I1143*J1143/60/M1143</f>
        <v/>
      </c>
      <c r="P1143" s="2">
        <f>K1143/J1143</f>
        <v/>
      </c>
      <c r="Q1143" s="2">
        <f>N1143*O1143*P1143</f>
        <v/>
      </c>
    </row>
    <row r="1144">
      <c r="A1144" t="inlineStr">
        <is>
          <t>2026-08-17</t>
        </is>
      </c>
      <c r="B1144" t="inlineStr">
        <is>
          <t>야간</t>
        </is>
      </c>
      <c r="C1144" t="inlineStr">
        <is>
          <t>P2</t>
        </is>
      </c>
      <c r="D1144" t="inlineStr">
        <is>
          <t>성형</t>
        </is>
      </c>
      <c r="E1144" t="inlineStr">
        <is>
          <t>PR-01</t>
        </is>
      </c>
      <c r="F1144" t="n">
        <v>480</v>
      </c>
      <c r="G1144" t="n">
        <v>23</v>
      </c>
      <c r="H1144" t="inlineStr">
        <is>
          <t>압력 이상</t>
        </is>
      </c>
      <c r="I1144" t="n">
        <v>6</v>
      </c>
      <c r="J1144" t="n">
        <v>4330</v>
      </c>
      <c r="K1144" t="n">
        <v>4258</v>
      </c>
      <c r="L1144" t="inlineStr">
        <is>
          <t>L-0809</t>
        </is>
      </c>
      <c r="M1144">
        <f>F1144-G1144</f>
        <v/>
      </c>
      <c r="N1144" s="2">
        <f>M1144/F1144</f>
        <v/>
      </c>
      <c r="O1144" s="2">
        <f>I1144*J1144/60/M1144</f>
        <v/>
      </c>
      <c r="P1144" s="2">
        <f>K1144/J1144</f>
        <v/>
      </c>
      <c r="Q1144" s="2">
        <f>N1144*O1144*P1144</f>
        <v/>
      </c>
    </row>
    <row r="1145">
      <c r="A1145" t="inlineStr">
        <is>
          <t>2026-08-17</t>
        </is>
      </c>
      <c r="B1145" t="inlineStr">
        <is>
          <t>야간</t>
        </is>
      </c>
      <c r="C1145" t="inlineStr">
        <is>
          <t>P2</t>
        </is>
      </c>
      <c r="D1145" t="inlineStr">
        <is>
          <t>성형</t>
        </is>
      </c>
      <c r="E1145" t="inlineStr">
        <is>
          <t>PR-02</t>
        </is>
      </c>
      <c r="F1145" t="n">
        <v>480</v>
      </c>
      <c r="G1145" t="n">
        <v>46</v>
      </c>
      <c r="H1145" t="inlineStr">
        <is>
          <t>압력 이상</t>
        </is>
      </c>
      <c r="I1145" t="n">
        <v>6</v>
      </c>
      <c r="J1145" t="n">
        <v>4074</v>
      </c>
      <c r="K1145" t="n">
        <v>4003</v>
      </c>
      <c r="L1145" t="inlineStr">
        <is>
          <t>L-0809</t>
        </is>
      </c>
      <c r="M1145">
        <f>F1145-G1145</f>
        <v/>
      </c>
      <c r="N1145" s="2">
        <f>M1145/F1145</f>
        <v/>
      </c>
      <c r="O1145" s="2">
        <f>I1145*J1145/60/M1145</f>
        <v/>
      </c>
      <c r="P1145" s="2">
        <f>K1145/J1145</f>
        <v/>
      </c>
      <c r="Q1145" s="2">
        <f>N1145*O1145*P1145</f>
        <v/>
      </c>
    </row>
    <row r="1146">
      <c r="A1146" t="inlineStr">
        <is>
          <t>2026-08-17</t>
        </is>
      </c>
      <c r="B1146" t="inlineStr">
        <is>
          <t>야간</t>
        </is>
      </c>
      <c r="C1146" t="inlineStr">
        <is>
          <t>P3</t>
        </is>
      </c>
      <c r="D1146" t="inlineStr">
        <is>
          <t>소결</t>
        </is>
      </c>
      <c r="E1146" t="inlineStr">
        <is>
          <t>SF-01</t>
        </is>
      </c>
      <c r="F1146" t="n">
        <v>480</v>
      </c>
      <c r="G1146" t="n">
        <v>59</v>
      </c>
      <c r="H1146" t="inlineStr">
        <is>
          <t>장입 대기</t>
        </is>
      </c>
      <c r="I1146" t="n">
        <v>6.5</v>
      </c>
      <c r="J1146" t="n">
        <v>3592</v>
      </c>
      <c r="K1146" t="n">
        <v>3508</v>
      </c>
      <c r="L1146" t="inlineStr">
        <is>
          <t>L-0809</t>
        </is>
      </c>
      <c r="M1146">
        <f>F1146-G1146</f>
        <v/>
      </c>
      <c r="N1146" s="2">
        <f>M1146/F1146</f>
        <v/>
      </c>
      <c r="O1146" s="2">
        <f>I1146*J1146/60/M1146</f>
        <v/>
      </c>
      <c r="P1146" s="2">
        <f>K1146/J1146</f>
        <v/>
      </c>
      <c r="Q1146" s="2">
        <f>N1146*O1146*P1146</f>
        <v/>
      </c>
    </row>
    <row r="1147">
      <c r="A1147" t="inlineStr">
        <is>
          <t>2026-08-17</t>
        </is>
      </c>
      <c r="B1147" t="inlineStr">
        <is>
          <t>야간</t>
        </is>
      </c>
      <c r="C1147" t="inlineStr">
        <is>
          <t>P3</t>
        </is>
      </c>
      <c r="D1147" t="inlineStr">
        <is>
          <t>소결</t>
        </is>
      </c>
      <c r="E1147" t="inlineStr">
        <is>
          <t>SF-02</t>
        </is>
      </c>
      <c r="F1147" t="n">
        <v>480</v>
      </c>
      <c r="G1147" t="n">
        <v>103</v>
      </c>
      <c r="H1147" t="inlineStr">
        <is>
          <t>온도 이상 정지</t>
        </is>
      </c>
      <c r="I1147" t="n">
        <v>6.5</v>
      </c>
      <c r="J1147" t="n">
        <v>2862</v>
      </c>
      <c r="K1147" t="n">
        <v>2664</v>
      </c>
      <c r="L1147" t="inlineStr">
        <is>
          <t>L-0809</t>
        </is>
      </c>
      <c r="M1147">
        <f>F1147-G1147</f>
        <v/>
      </c>
      <c r="N1147" s="2">
        <f>M1147/F1147</f>
        <v/>
      </c>
      <c r="O1147" s="2">
        <f>I1147*J1147/60/M1147</f>
        <v/>
      </c>
      <c r="P1147" s="2">
        <f>K1147/J1147</f>
        <v/>
      </c>
      <c r="Q1147" s="2">
        <f>N1147*O1147*P1147</f>
        <v/>
      </c>
    </row>
    <row r="1148">
      <c r="A1148" t="inlineStr">
        <is>
          <t>2026-08-17</t>
        </is>
      </c>
      <c r="B1148" t="inlineStr">
        <is>
          <t>야간</t>
        </is>
      </c>
      <c r="C1148" t="inlineStr">
        <is>
          <t>P4</t>
        </is>
      </c>
      <c r="D1148" t="inlineStr">
        <is>
          <t>연삭</t>
        </is>
      </c>
      <c r="E1148" t="inlineStr">
        <is>
          <t>GR-01</t>
        </is>
      </c>
      <c r="F1148" t="n">
        <v>480</v>
      </c>
      <c r="G1148" t="n">
        <v>68</v>
      </c>
      <c r="H1148" t="inlineStr">
        <is>
          <t>공구 교체</t>
        </is>
      </c>
      <c r="I1148" t="n">
        <v>6.2</v>
      </c>
      <c r="J1148" t="n">
        <v>3850</v>
      </c>
      <c r="K1148" t="n">
        <v>3806</v>
      </c>
      <c r="L1148" t="inlineStr">
        <is>
          <t>L-0809</t>
        </is>
      </c>
      <c r="M1148">
        <f>F1148-G1148</f>
        <v/>
      </c>
      <c r="N1148" s="2">
        <f>M1148/F1148</f>
        <v/>
      </c>
      <c r="O1148" s="2">
        <f>I1148*J1148/60/M1148</f>
        <v/>
      </c>
      <c r="P1148" s="2">
        <f>K1148/J1148</f>
        <v/>
      </c>
      <c r="Q1148" s="2">
        <f>N1148*O1148*P1148</f>
        <v/>
      </c>
    </row>
    <row r="1149">
      <c r="A1149" t="inlineStr">
        <is>
          <t>2026-08-17</t>
        </is>
      </c>
      <c r="B1149" t="inlineStr">
        <is>
          <t>야간</t>
        </is>
      </c>
      <c r="C1149" t="inlineStr">
        <is>
          <t>P4</t>
        </is>
      </c>
      <c r="D1149" t="inlineStr">
        <is>
          <t>연삭</t>
        </is>
      </c>
      <c r="E1149" t="inlineStr">
        <is>
          <t>GR-02</t>
        </is>
      </c>
      <c r="F1149" t="n">
        <v>480</v>
      </c>
      <c r="G1149" t="n">
        <v>75</v>
      </c>
      <c r="H1149" t="inlineStr">
        <is>
          <t>드레싱</t>
        </is>
      </c>
      <c r="I1149" t="n">
        <v>6.2</v>
      </c>
      <c r="J1149" t="n">
        <v>3682</v>
      </c>
      <c r="K1149" t="n">
        <v>3636</v>
      </c>
      <c r="L1149" t="inlineStr">
        <is>
          <t>L-0809</t>
        </is>
      </c>
      <c r="M1149">
        <f>F1149-G1149</f>
        <v/>
      </c>
      <c r="N1149" s="2">
        <f>M1149/F1149</f>
        <v/>
      </c>
      <c r="O1149" s="2">
        <f>I1149*J1149/60/M1149</f>
        <v/>
      </c>
      <c r="P1149" s="2">
        <f>K1149/J1149</f>
        <v/>
      </c>
      <c r="Q1149" s="2">
        <f>N1149*O1149*P1149</f>
        <v/>
      </c>
    </row>
    <row r="1150">
      <c r="A1150" t="inlineStr">
        <is>
          <t>2026-08-17</t>
        </is>
      </c>
      <c r="B1150" t="inlineStr">
        <is>
          <t>야간</t>
        </is>
      </c>
      <c r="C1150" t="inlineStr">
        <is>
          <t>P5</t>
        </is>
      </c>
      <c r="D1150" t="inlineStr">
        <is>
          <t>검사</t>
        </is>
      </c>
      <c r="E1150" t="inlineStr">
        <is>
          <t>IN-01</t>
        </is>
      </c>
      <c r="F1150" t="n">
        <v>480</v>
      </c>
      <c r="G1150" t="n">
        <v>30</v>
      </c>
      <c r="H1150" t="inlineStr">
        <is>
          <t>샘플 재검</t>
        </is>
      </c>
      <c r="I1150" t="n">
        <v>5.5</v>
      </c>
      <c r="J1150" t="n">
        <v>4642</v>
      </c>
      <c r="K1150" t="n">
        <v>4625</v>
      </c>
      <c r="L1150" t="inlineStr">
        <is>
          <t>L-0809</t>
        </is>
      </c>
      <c r="M1150">
        <f>F1150-G1150</f>
        <v/>
      </c>
      <c r="N1150" s="2">
        <f>M1150/F1150</f>
        <v/>
      </c>
      <c r="O1150" s="2">
        <f>I1150*J1150/60/M1150</f>
        <v/>
      </c>
      <c r="P1150" s="2">
        <f>K1150/J1150</f>
        <v/>
      </c>
      <c r="Q1150" s="2">
        <f>N1150*O1150*P1150</f>
        <v/>
      </c>
    </row>
    <row r="1151">
      <c r="A1151" t="inlineStr">
        <is>
          <t>2026-08-17</t>
        </is>
      </c>
      <c r="B1151" t="inlineStr">
        <is>
          <t>야간</t>
        </is>
      </c>
      <c r="C1151" t="inlineStr">
        <is>
          <t>P5</t>
        </is>
      </c>
      <c r="D1151" t="inlineStr">
        <is>
          <t>검사</t>
        </is>
      </c>
      <c r="E1151" t="inlineStr">
        <is>
          <t>IN-02</t>
        </is>
      </c>
      <c r="F1151" t="n">
        <v>480</v>
      </c>
      <c r="G1151" t="n">
        <v>20</v>
      </c>
      <c r="H1151" t="inlineStr">
        <is>
          <t>측정기 교정</t>
        </is>
      </c>
      <c r="I1151" t="n">
        <v>5.5</v>
      </c>
      <c r="J1151" t="n">
        <v>4613</v>
      </c>
      <c r="K1151" t="n">
        <v>4596</v>
      </c>
      <c r="L1151" t="inlineStr">
        <is>
          <t>L-0809</t>
        </is>
      </c>
      <c r="M1151">
        <f>F1151-G1151</f>
        <v/>
      </c>
      <c r="N1151" s="2">
        <f>M1151/F1151</f>
        <v/>
      </c>
      <c r="O1151" s="2">
        <f>I1151*J1151/60/M1151</f>
        <v/>
      </c>
      <c r="P1151" s="2">
        <f>K1151/J1151</f>
        <v/>
      </c>
      <c r="Q1151" s="2">
        <f>N1151*O1151*P1151</f>
        <v/>
      </c>
    </row>
    <row r="1152">
      <c r="A1152" t="inlineStr">
        <is>
          <t>2026-08-17</t>
        </is>
      </c>
      <c r="B1152" t="inlineStr">
        <is>
          <t>야간</t>
        </is>
      </c>
      <c r="C1152" t="inlineStr">
        <is>
          <t>P6</t>
        </is>
      </c>
      <c r="D1152" t="inlineStr">
        <is>
          <t>포장</t>
        </is>
      </c>
      <c r="E1152" t="inlineStr">
        <is>
          <t>PK-01</t>
        </is>
      </c>
      <c r="F1152" t="n">
        <v>480</v>
      </c>
      <c r="G1152" t="n">
        <v>9</v>
      </c>
      <c r="H1152" t="inlineStr">
        <is>
          <t>라벨 교체</t>
        </is>
      </c>
      <c r="I1152" t="n">
        <v>4.8</v>
      </c>
      <c r="J1152" t="n">
        <v>5495</v>
      </c>
      <c r="K1152" t="n">
        <v>5479</v>
      </c>
      <c r="L1152" t="inlineStr">
        <is>
          <t>L-0809</t>
        </is>
      </c>
      <c r="M1152">
        <f>F1152-G1152</f>
        <v/>
      </c>
      <c r="N1152" s="2">
        <f>M1152/F1152</f>
        <v/>
      </c>
      <c r="O1152" s="2">
        <f>I1152*J1152/60/M1152</f>
        <v/>
      </c>
      <c r="P1152" s="2">
        <f>K1152/J1152</f>
        <v/>
      </c>
      <c r="Q1152" s="2">
        <f>N1152*O1152*P1152</f>
        <v/>
      </c>
    </row>
    <row r="1153">
      <c r="A1153" t="inlineStr">
        <is>
          <t>2026-08-17</t>
        </is>
      </c>
      <c r="B1153" t="inlineStr">
        <is>
          <t>야간</t>
        </is>
      </c>
      <c r="C1153" t="inlineStr">
        <is>
          <t>P6</t>
        </is>
      </c>
      <c r="D1153" t="inlineStr">
        <is>
          <t>포장</t>
        </is>
      </c>
      <c r="E1153" t="inlineStr">
        <is>
          <t>PK-02</t>
        </is>
      </c>
      <c r="F1153" t="n">
        <v>480</v>
      </c>
      <c r="G1153" t="n">
        <v>23</v>
      </c>
      <c r="H1153" t="inlineStr">
        <is>
          <t>라벨 교체</t>
        </is>
      </c>
      <c r="I1153" t="n">
        <v>4.8</v>
      </c>
      <c r="J1153" t="n">
        <v>5303</v>
      </c>
      <c r="K1153" t="n">
        <v>5286</v>
      </c>
      <c r="L1153" t="inlineStr">
        <is>
          <t>L-0809</t>
        </is>
      </c>
      <c r="M1153">
        <f>F1153-G1153</f>
        <v/>
      </c>
      <c r="N1153" s="2">
        <f>M1153/F1153</f>
        <v/>
      </c>
      <c r="O1153" s="2">
        <f>I1153*J1153/60/M1153</f>
        <v/>
      </c>
      <c r="P1153" s="2">
        <f>K1153/J1153</f>
        <v/>
      </c>
      <c r="Q1153" s="2">
        <f>N1153*O1153*P1153</f>
        <v/>
      </c>
    </row>
    <row r="1154">
      <c r="A1154" t="inlineStr">
        <is>
          <t>2026-08-18</t>
        </is>
      </c>
      <c r="B1154" t="inlineStr">
        <is>
          <t>주간</t>
        </is>
      </c>
      <c r="C1154" t="inlineStr">
        <is>
          <t>P1</t>
        </is>
      </c>
      <c r="D1154" t="inlineStr">
        <is>
          <t>원료혼합</t>
        </is>
      </c>
      <c r="E1154" t="inlineStr">
        <is>
          <t>MX-01</t>
        </is>
      </c>
      <c r="F1154" t="n">
        <v>480</v>
      </c>
      <c r="G1154" t="n">
        <v>60</v>
      </c>
      <c r="H1154" t="inlineStr">
        <is>
          <t>배합 확인</t>
        </is>
      </c>
      <c r="I1154" t="n">
        <v>5</v>
      </c>
      <c r="J1154" t="n">
        <v>4736</v>
      </c>
      <c r="K1154" t="n">
        <v>4709</v>
      </c>
      <c r="L1154" t="inlineStr">
        <is>
          <t>L-0809</t>
        </is>
      </c>
      <c r="M1154">
        <f>F1154-G1154</f>
        <v/>
      </c>
      <c r="N1154" s="2">
        <f>M1154/F1154</f>
        <v/>
      </c>
      <c r="O1154" s="2">
        <f>I1154*J1154/60/M1154</f>
        <v/>
      </c>
      <c r="P1154" s="2">
        <f>K1154/J1154</f>
        <v/>
      </c>
      <c r="Q1154" s="2">
        <f>N1154*O1154*P1154</f>
        <v/>
      </c>
    </row>
    <row r="1155">
      <c r="A1155" t="inlineStr">
        <is>
          <t>2026-08-18</t>
        </is>
      </c>
      <c r="B1155" t="inlineStr">
        <is>
          <t>주간</t>
        </is>
      </c>
      <c r="C1155" t="inlineStr">
        <is>
          <t>P1</t>
        </is>
      </c>
      <c r="D1155" t="inlineStr">
        <is>
          <t>원료혼합</t>
        </is>
      </c>
      <c r="E1155" t="inlineStr">
        <is>
          <t>MX-02</t>
        </is>
      </c>
      <c r="F1155" t="n">
        <v>480</v>
      </c>
      <c r="G1155" t="n">
        <v>28</v>
      </c>
      <c r="H1155" t="inlineStr">
        <is>
          <t>배합 확인</t>
        </is>
      </c>
      <c r="I1155" t="n">
        <v>5</v>
      </c>
      <c r="J1155" t="n">
        <v>5101</v>
      </c>
      <c r="K1155" t="n">
        <v>5068</v>
      </c>
      <c r="L1155" t="inlineStr">
        <is>
          <t>L-0809</t>
        </is>
      </c>
      <c r="M1155">
        <f>F1155-G1155</f>
        <v/>
      </c>
      <c r="N1155" s="2">
        <f>M1155/F1155</f>
        <v/>
      </c>
      <c r="O1155" s="2">
        <f>I1155*J1155/60/M1155</f>
        <v/>
      </c>
      <c r="P1155" s="2">
        <f>K1155/J1155</f>
        <v/>
      </c>
      <c r="Q1155" s="2">
        <f>N1155*O1155*P1155</f>
        <v/>
      </c>
    </row>
    <row r="1156">
      <c r="A1156" t="inlineStr">
        <is>
          <t>2026-08-18</t>
        </is>
      </c>
      <c r="B1156" t="inlineStr">
        <is>
          <t>주간</t>
        </is>
      </c>
      <c r="C1156" t="inlineStr">
        <is>
          <t>P2</t>
        </is>
      </c>
      <c r="D1156" t="inlineStr">
        <is>
          <t>성형</t>
        </is>
      </c>
      <c r="E1156" t="inlineStr">
        <is>
          <t>PR-01</t>
        </is>
      </c>
      <c r="F1156" t="n">
        <v>480</v>
      </c>
      <c r="G1156" t="n">
        <v>35</v>
      </c>
      <c r="H1156" t="inlineStr">
        <is>
          <t>분말 공급 지연</t>
        </is>
      </c>
      <c r="I1156" t="n">
        <v>6</v>
      </c>
      <c r="J1156" t="n">
        <v>3982</v>
      </c>
      <c r="K1156" t="n">
        <v>3929</v>
      </c>
      <c r="L1156" t="inlineStr">
        <is>
          <t>L-0809</t>
        </is>
      </c>
      <c r="M1156">
        <f>F1156-G1156</f>
        <v/>
      </c>
      <c r="N1156" s="2">
        <f>M1156/F1156</f>
        <v/>
      </c>
      <c r="O1156" s="2">
        <f>I1156*J1156/60/M1156</f>
        <v/>
      </c>
      <c r="P1156" s="2">
        <f>K1156/J1156</f>
        <v/>
      </c>
      <c r="Q1156" s="2">
        <f>N1156*O1156*P1156</f>
        <v/>
      </c>
    </row>
    <row r="1157">
      <c r="A1157" t="inlineStr">
        <is>
          <t>2026-08-18</t>
        </is>
      </c>
      <c r="B1157" t="inlineStr">
        <is>
          <t>주간</t>
        </is>
      </c>
      <c r="C1157" t="inlineStr">
        <is>
          <t>P2</t>
        </is>
      </c>
      <c r="D1157" t="inlineStr">
        <is>
          <t>성형</t>
        </is>
      </c>
      <c r="E1157" t="inlineStr">
        <is>
          <t>PR-02</t>
        </is>
      </c>
      <c r="F1157" t="n">
        <v>480</v>
      </c>
      <c r="G1157" t="n">
        <v>12</v>
      </c>
      <c r="H1157" t="inlineStr">
        <is>
          <t>금형 교체</t>
        </is>
      </c>
      <c r="I1157" t="n">
        <v>6</v>
      </c>
      <c r="J1157" t="n">
        <v>4313</v>
      </c>
      <c r="K1157" t="n">
        <v>4248</v>
      </c>
      <c r="L1157" t="inlineStr">
        <is>
          <t>L-0809</t>
        </is>
      </c>
      <c r="M1157">
        <f>F1157-G1157</f>
        <v/>
      </c>
      <c r="N1157" s="2">
        <f>M1157/F1157</f>
        <v/>
      </c>
      <c r="O1157" s="2">
        <f>I1157*J1157/60/M1157</f>
        <v/>
      </c>
      <c r="P1157" s="2">
        <f>K1157/J1157</f>
        <v/>
      </c>
      <c r="Q1157" s="2">
        <f>N1157*O1157*P1157</f>
        <v/>
      </c>
    </row>
    <row r="1158">
      <c r="A1158" t="inlineStr">
        <is>
          <t>2026-08-18</t>
        </is>
      </c>
      <c r="B1158" t="inlineStr">
        <is>
          <t>주간</t>
        </is>
      </c>
      <c r="C1158" t="inlineStr">
        <is>
          <t>P3</t>
        </is>
      </c>
      <c r="D1158" t="inlineStr">
        <is>
          <t>소결</t>
        </is>
      </c>
      <c r="E1158" t="inlineStr">
        <is>
          <t>SF-01</t>
        </is>
      </c>
      <c r="F1158" t="n">
        <v>480</v>
      </c>
      <c r="G1158" t="n">
        <v>20</v>
      </c>
      <c r="H1158" t="inlineStr">
        <is>
          <t>장입 대기</t>
        </is>
      </c>
      <c r="I1158" t="n">
        <v>6.5</v>
      </c>
      <c r="J1158" t="n">
        <v>3901</v>
      </c>
      <c r="K1158" t="n">
        <v>3822</v>
      </c>
      <c r="L1158" t="inlineStr">
        <is>
          <t>L-0809</t>
        </is>
      </c>
      <c r="M1158">
        <f>F1158-G1158</f>
        <v/>
      </c>
      <c r="N1158" s="2">
        <f>M1158/F1158</f>
        <v/>
      </c>
      <c r="O1158" s="2">
        <f>I1158*J1158/60/M1158</f>
        <v/>
      </c>
      <c r="P1158" s="2">
        <f>K1158/J1158</f>
        <v/>
      </c>
      <c r="Q1158" s="2">
        <f>N1158*O1158*P1158</f>
        <v/>
      </c>
    </row>
    <row r="1159">
      <c r="A1159" t="inlineStr">
        <is>
          <t>2026-08-18</t>
        </is>
      </c>
      <c r="B1159" t="inlineStr">
        <is>
          <t>주간</t>
        </is>
      </c>
      <c r="C1159" t="inlineStr">
        <is>
          <t>P3</t>
        </is>
      </c>
      <c r="D1159" t="inlineStr">
        <is>
          <t>소결</t>
        </is>
      </c>
      <c r="E1159" t="inlineStr">
        <is>
          <t>SF-02</t>
        </is>
      </c>
      <c r="F1159" t="n">
        <v>480</v>
      </c>
      <c r="G1159" t="n">
        <v>97</v>
      </c>
      <c r="H1159" t="inlineStr">
        <is>
          <t>재가열</t>
        </is>
      </c>
      <c r="I1159" t="n">
        <v>6.5</v>
      </c>
      <c r="J1159" t="n">
        <v>3027</v>
      </c>
      <c r="K1159" t="n">
        <v>2801</v>
      </c>
      <c r="L1159" t="inlineStr">
        <is>
          <t>L-0809</t>
        </is>
      </c>
      <c r="M1159">
        <f>F1159-G1159</f>
        <v/>
      </c>
      <c r="N1159" s="2">
        <f>M1159/F1159</f>
        <v/>
      </c>
      <c r="O1159" s="2">
        <f>I1159*J1159/60/M1159</f>
        <v/>
      </c>
      <c r="P1159" s="2">
        <f>K1159/J1159</f>
        <v/>
      </c>
      <c r="Q1159" s="2">
        <f>N1159*O1159*P1159</f>
        <v/>
      </c>
    </row>
    <row r="1160">
      <c r="A1160" t="inlineStr">
        <is>
          <t>2026-08-18</t>
        </is>
      </c>
      <c r="B1160" t="inlineStr">
        <is>
          <t>주간</t>
        </is>
      </c>
      <c r="C1160" t="inlineStr">
        <is>
          <t>P4</t>
        </is>
      </c>
      <c r="D1160" t="inlineStr">
        <is>
          <t>연삭</t>
        </is>
      </c>
      <c r="E1160" t="inlineStr">
        <is>
          <t>GR-01</t>
        </is>
      </c>
      <c r="F1160" t="n">
        <v>480</v>
      </c>
      <c r="G1160" t="n">
        <v>65</v>
      </c>
      <c r="H1160" t="inlineStr">
        <is>
          <t>공구 교체</t>
        </is>
      </c>
      <c r="I1160" t="n">
        <v>6.2</v>
      </c>
      <c r="J1160" t="n">
        <v>3711</v>
      </c>
      <c r="K1160" t="n">
        <v>3673</v>
      </c>
      <c r="L1160" t="inlineStr">
        <is>
          <t>L-0809</t>
        </is>
      </c>
      <c r="M1160">
        <f>F1160-G1160</f>
        <v/>
      </c>
      <c r="N1160" s="2">
        <f>M1160/F1160</f>
        <v/>
      </c>
      <c r="O1160" s="2">
        <f>I1160*J1160/60/M1160</f>
        <v/>
      </c>
      <c r="P1160" s="2">
        <f>K1160/J1160</f>
        <v/>
      </c>
      <c r="Q1160" s="2">
        <f>N1160*O1160*P1160</f>
        <v/>
      </c>
    </row>
    <row r="1161">
      <c r="A1161" t="inlineStr">
        <is>
          <t>2026-08-18</t>
        </is>
      </c>
      <c r="B1161" t="inlineStr">
        <is>
          <t>주간</t>
        </is>
      </c>
      <c r="C1161" t="inlineStr">
        <is>
          <t>P4</t>
        </is>
      </c>
      <c r="D1161" t="inlineStr">
        <is>
          <t>연삭</t>
        </is>
      </c>
      <c r="E1161" t="inlineStr">
        <is>
          <t>GR-02</t>
        </is>
      </c>
      <c r="F1161" t="n">
        <v>480</v>
      </c>
      <c r="G1161" t="n">
        <v>53</v>
      </c>
      <c r="H1161" t="inlineStr">
        <is>
          <t>드레싱</t>
        </is>
      </c>
      <c r="I1161" t="n">
        <v>6.2</v>
      </c>
      <c r="J1161" t="n">
        <v>3732</v>
      </c>
      <c r="K1161" t="n">
        <v>3693</v>
      </c>
      <c r="L1161" t="inlineStr">
        <is>
          <t>L-0809</t>
        </is>
      </c>
      <c r="M1161">
        <f>F1161-G1161</f>
        <v/>
      </c>
      <c r="N1161" s="2">
        <f>M1161/F1161</f>
        <v/>
      </c>
      <c r="O1161" s="2">
        <f>I1161*J1161/60/M1161</f>
        <v/>
      </c>
      <c r="P1161" s="2">
        <f>K1161/J1161</f>
        <v/>
      </c>
      <c r="Q1161" s="2">
        <f>N1161*O1161*P1161</f>
        <v/>
      </c>
    </row>
    <row r="1162">
      <c r="A1162" t="inlineStr">
        <is>
          <t>2026-08-18</t>
        </is>
      </c>
      <c r="B1162" t="inlineStr">
        <is>
          <t>주간</t>
        </is>
      </c>
      <c r="C1162" t="inlineStr">
        <is>
          <t>P5</t>
        </is>
      </c>
      <c r="D1162" t="inlineStr">
        <is>
          <t>검사</t>
        </is>
      </c>
      <c r="E1162" t="inlineStr">
        <is>
          <t>IN-01</t>
        </is>
      </c>
      <c r="F1162" t="n">
        <v>480</v>
      </c>
      <c r="G1162" t="n">
        <v>33</v>
      </c>
      <c r="H1162" t="inlineStr">
        <is>
          <t>샘플 재검</t>
        </is>
      </c>
      <c r="I1162" t="n">
        <v>5.5</v>
      </c>
      <c r="J1162" t="n">
        <v>4517</v>
      </c>
      <c r="K1162" t="n">
        <v>4504</v>
      </c>
      <c r="L1162" t="inlineStr">
        <is>
          <t>L-0809</t>
        </is>
      </c>
      <c r="M1162">
        <f>F1162-G1162</f>
        <v/>
      </c>
      <c r="N1162" s="2">
        <f>M1162/F1162</f>
        <v/>
      </c>
      <c r="O1162" s="2">
        <f>I1162*J1162/60/M1162</f>
        <v/>
      </c>
      <c r="P1162" s="2">
        <f>K1162/J1162</f>
        <v/>
      </c>
      <c r="Q1162" s="2">
        <f>N1162*O1162*P1162</f>
        <v/>
      </c>
    </row>
    <row r="1163">
      <c r="A1163" t="inlineStr">
        <is>
          <t>2026-08-18</t>
        </is>
      </c>
      <c r="B1163" t="inlineStr">
        <is>
          <t>주간</t>
        </is>
      </c>
      <c r="C1163" t="inlineStr">
        <is>
          <t>P5</t>
        </is>
      </c>
      <c r="D1163" t="inlineStr">
        <is>
          <t>검사</t>
        </is>
      </c>
      <c r="E1163" t="inlineStr">
        <is>
          <t>IN-02</t>
        </is>
      </c>
      <c r="F1163" t="n">
        <v>480</v>
      </c>
      <c r="G1163" t="n">
        <v>26</v>
      </c>
      <c r="H1163" t="inlineStr">
        <is>
          <t>측정기 교정</t>
        </is>
      </c>
      <c r="I1163" t="n">
        <v>5.5</v>
      </c>
      <c r="J1163" t="n">
        <v>4735</v>
      </c>
      <c r="K1163" t="n">
        <v>4722</v>
      </c>
      <c r="L1163" t="inlineStr">
        <is>
          <t>L-0809</t>
        </is>
      </c>
      <c r="M1163">
        <f>F1163-G1163</f>
        <v/>
      </c>
      <c r="N1163" s="2">
        <f>M1163/F1163</f>
        <v/>
      </c>
      <c r="O1163" s="2">
        <f>I1163*J1163/60/M1163</f>
        <v/>
      </c>
      <c r="P1163" s="2">
        <f>K1163/J1163</f>
        <v/>
      </c>
      <c r="Q1163" s="2">
        <f>N1163*O1163*P1163</f>
        <v/>
      </c>
    </row>
    <row r="1164">
      <c r="A1164" t="inlineStr">
        <is>
          <t>2026-08-18</t>
        </is>
      </c>
      <c r="B1164" t="inlineStr">
        <is>
          <t>주간</t>
        </is>
      </c>
      <c r="C1164" t="inlineStr">
        <is>
          <t>P6</t>
        </is>
      </c>
      <c r="D1164" t="inlineStr">
        <is>
          <t>포장</t>
        </is>
      </c>
      <c r="E1164" t="inlineStr">
        <is>
          <t>PK-01</t>
        </is>
      </c>
      <c r="F1164" t="n">
        <v>480</v>
      </c>
      <c r="G1164" t="n">
        <v>12</v>
      </c>
      <c r="H1164" t="inlineStr">
        <is>
          <t>라벨 교체</t>
        </is>
      </c>
      <c r="I1164" t="n">
        <v>4.8</v>
      </c>
      <c r="J1164" t="n">
        <v>5204</v>
      </c>
      <c r="K1164" t="n">
        <v>5193</v>
      </c>
      <c r="L1164" t="inlineStr">
        <is>
          <t>L-0809</t>
        </is>
      </c>
      <c r="M1164">
        <f>F1164-G1164</f>
        <v/>
      </c>
      <c r="N1164" s="2">
        <f>M1164/F1164</f>
        <v/>
      </c>
      <c r="O1164" s="2">
        <f>I1164*J1164/60/M1164</f>
        <v/>
      </c>
      <c r="P1164" s="2">
        <f>K1164/J1164</f>
        <v/>
      </c>
      <c r="Q1164" s="2">
        <f>N1164*O1164*P1164</f>
        <v/>
      </c>
    </row>
    <row r="1165">
      <c r="A1165" t="inlineStr">
        <is>
          <t>2026-08-18</t>
        </is>
      </c>
      <c r="B1165" t="inlineStr">
        <is>
          <t>주간</t>
        </is>
      </c>
      <c r="C1165" t="inlineStr">
        <is>
          <t>P6</t>
        </is>
      </c>
      <c r="D1165" t="inlineStr">
        <is>
          <t>포장</t>
        </is>
      </c>
      <c r="E1165" t="inlineStr">
        <is>
          <t>PK-02</t>
        </is>
      </c>
      <c r="F1165" t="n">
        <v>480</v>
      </c>
      <c r="G1165" t="n">
        <v>25</v>
      </c>
      <c r="H1165" t="inlineStr">
        <is>
          <t>라벨 교체</t>
        </is>
      </c>
      <c r="I1165" t="n">
        <v>4.8</v>
      </c>
      <c r="J1165" t="n">
        <v>5131</v>
      </c>
      <c r="K1165" t="n">
        <v>5120</v>
      </c>
      <c r="L1165" t="inlineStr">
        <is>
          <t>L-0809</t>
        </is>
      </c>
      <c r="M1165">
        <f>F1165-G1165</f>
        <v/>
      </c>
      <c r="N1165" s="2">
        <f>M1165/F1165</f>
        <v/>
      </c>
      <c r="O1165" s="2">
        <f>I1165*J1165/60/M1165</f>
        <v/>
      </c>
      <c r="P1165" s="2">
        <f>K1165/J1165</f>
        <v/>
      </c>
      <c r="Q1165" s="2">
        <f>N1165*O1165*P1165</f>
        <v/>
      </c>
    </row>
    <row r="1166">
      <c r="A1166" t="inlineStr">
        <is>
          <t>2026-08-18</t>
        </is>
      </c>
      <c r="B1166" t="inlineStr">
        <is>
          <t>야간</t>
        </is>
      </c>
      <c r="C1166" t="inlineStr">
        <is>
          <t>P1</t>
        </is>
      </c>
      <c r="D1166" t="inlineStr">
        <is>
          <t>원료혼합</t>
        </is>
      </c>
      <c r="E1166" t="inlineStr">
        <is>
          <t>MX-01</t>
        </is>
      </c>
      <c r="F1166" t="n">
        <v>480</v>
      </c>
      <c r="G1166" t="n">
        <v>62</v>
      </c>
      <c r="H1166" t="inlineStr">
        <is>
          <t>배합 확인</t>
        </is>
      </c>
      <c r="I1166" t="n">
        <v>5</v>
      </c>
      <c r="J1166" t="n">
        <v>4633</v>
      </c>
      <c r="K1166" t="n">
        <v>4610</v>
      </c>
      <c r="L1166" t="inlineStr">
        <is>
          <t>L-0809</t>
        </is>
      </c>
      <c r="M1166">
        <f>F1166-G1166</f>
        <v/>
      </c>
      <c r="N1166" s="2">
        <f>M1166/F1166</f>
        <v/>
      </c>
      <c r="O1166" s="2">
        <f>I1166*J1166/60/M1166</f>
        <v/>
      </c>
      <c r="P1166" s="2">
        <f>K1166/J1166</f>
        <v/>
      </c>
      <c r="Q1166" s="2">
        <f>N1166*O1166*P1166</f>
        <v/>
      </c>
    </row>
    <row r="1167">
      <c r="A1167" t="inlineStr">
        <is>
          <t>2026-08-18</t>
        </is>
      </c>
      <c r="B1167" t="inlineStr">
        <is>
          <t>야간</t>
        </is>
      </c>
      <c r="C1167" t="inlineStr">
        <is>
          <t>P1</t>
        </is>
      </c>
      <c r="D1167" t="inlineStr">
        <is>
          <t>원료혼합</t>
        </is>
      </c>
      <c r="E1167" t="inlineStr">
        <is>
          <t>MX-02</t>
        </is>
      </c>
      <c r="F1167" t="n">
        <v>480</v>
      </c>
      <c r="G1167" t="n">
        <v>23</v>
      </c>
      <c r="H1167" t="inlineStr">
        <is>
          <t>청소</t>
        </is>
      </c>
      <c r="I1167" t="n">
        <v>5</v>
      </c>
      <c r="J1167" t="n">
        <v>5359</v>
      </c>
      <c r="K1167" t="n">
        <v>5324</v>
      </c>
      <c r="L1167" t="inlineStr">
        <is>
          <t>L-0809</t>
        </is>
      </c>
      <c r="M1167">
        <f>F1167-G1167</f>
        <v/>
      </c>
      <c r="N1167" s="2">
        <f>M1167/F1167</f>
        <v/>
      </c>
      <c r="O1167" s="2">
        <f>I1167*J1167/60/M1167</f>
        <v/>
      </c>
      <c r="P1167" s="2">
        <f>K1167/J1167</f>
        <v/>
      </c>
      <c r="Q1167" s="2">
        <f>N1167*O1167*P1167</f>
        <v/>
      </c>
    </row>
    <row r="1168">
      <c r="A1168" t="inlineStr">
        <is>
          <t>2026-08-18</t>
        </is>
      </c>
      <c r="B1168" t="inlineStr">
        <is>
          <t>야간</t>
        </is>
      </c>
      <c r="C1168" t="inlineStr">
        <is>
          <t>P2</t>
        </is>
      </c>
      <c r="D1168" t="inlineStr">
        <is>
          <t>성형</t>
        </is>
      </c>
      <c r="E1168" t="inlineStr">
        <is>
          <t>PR-01</t>
        </is>
      </c>
      <c r="F1168" t="n">
        <v>480</v>
      </c>
      <c r="G1168" t="n">
        <v>8</v>
      </c>
      <c r="H1168" t="inlineStr">
        <is>
          <t>압력 이상</t>
        </is>
      </c>
      <c r="I1168" t="n">
        <v>6</v>
      </c>
      <c r="J1168" t="n">
        <v>4199</v>
      </c>
      <c r="K1168" t="n">
        <v>4148</v>
      </c>
      <c r="L1168" t="inlineStr">
        <is>
          <t>L-0809</t>
        </is>
      </c>
      <c r="M1168">
        <f>F1168-G1168</f>
        <v/>
      </c>
      <c r="N1168" s="2">
        <f>M1168/F1168</f>
        <v/>
      </c>
      <c r="O1168" s="2">
        <f>I1168*J1168/60/M1168</f>
        <v/>
      </c>
      <c r="P1168" s="2">
        <f>K1168/J1168</f>
        <v/>
      </c>
      <c r="Q1168" s="2">
        <f>N1168*O1168*P1168</f>
        <v/>
      </c>
    </row>
    <row r="1169">
      <c r="A1169" t="inlineStr">
        <is>
          <t>2026-08-18</t>
        </is>
      </c>
      <c r="B1169" t="inlineStr">
        <is>
          <t>야간</t>
        </is>
      </c>
      <c r="C1169" t="inlineStr">
        <is>
          <t>P2</t>
        </is>
      </c>
      <c r="D1169" t="inlineStr">
        <is>
          <t>성형</t>
        </is>
      </c>
      <c r="E1169" t="inlineStr">
        <is>
          <t>PR-02</t>
        </is>
      </c>
      <c r="F1169" t="n">
        <v>480</v>
      </c>
      <c r="G1169" t="n">
        <v>20</v>
      </c>
      <c r="H1169" t="inlineStr">
        <is>
          <t>금형 교체</t>
        </is>
      </c>
      <c r="I1169" t="n">
        <v>6</v>
      </c>
      <c r="J1169" t="n">
        <v>4227</v>
      </c>
      <c r="K1169" t="n">
        <v>4166</v>
      </c>
      <c r="L1169" t="inlineStr">
        <is>
          <t>L-0809</t>
        </is>
      </c>
      <c r="M1169">
        <f>F1169-G1169</f>
        <v/>
      </c>
      <c r="N1169" s="2">
        <f>M1169/F1169</f>
        <v/>
      </c>
      <c r="O1169" s="2">
        <f>I1169*J1169/60/M1169</f>
        <v/>
      </c>
      <c r="P1169" s="2">
        <f>K1169/J1169</f>
        <v/>
      </c>
      <c r="Q1169" s="2">
        <f>N1169*O1169*P1169</f>
        <v/>
      </c>
    </row>
    <row r="1170">
      <c r="A1170" t="inlineStr">
        <is>
          <t>2026-08-18</t>
        </is>
      </c>
      <c r="B1170" t="inlineStr">
        <is>
          <t>야간</t>
        </is>
      </c>
      <c r="C1170" t="inlineStr">
        <is>
          <t>P3</t>
        </is>
      </c>
      <c r="D1170" t="inlineStr">
        <is>
          <t>소결</t>
        </is>
      </c>
      <c r="E1170" t="inlineStr">
        <is>
          <t>SF-01</t>
        </is>
      </c>
      <c r="F1170" t="n">
        <v>480</v>
      </c>
      <c r="G1170" t="n">
        <v>48</v>
      </c>
      <c r="H1170" t="inlineStr">
        <is>
          <t>온도 이상 정지</t>
        </is>
      </c>
      <c r="I1170" t="n">
        <v>6.5</v>
      </c>
      <c r="J1170" t="n">
        <v>3531</v>
      </c>
      <c r="K1170" t="n">
        <v>3433</v>
      </c>
      <c r="L1170" t="inlineStr">
        <is>
          <t>L-0809</t>
        </is>
      </c>
      <c r="M1170">
        <f>F1170-G1170</f>
        <v/>
      </c>
      <c r="N1170" s="2">
        <f>M1170/F1170</f>
        <v/>
      </c>
      <c r="O1170" s="2">
        <f>I1170*J1170/60/M1170</f>
        <v/>
      </c>
      <c r="P1170" s="2">
        <f>K1170/J1170</f>
        <v/>
      </c>
      <c r="Q1170" s="2">
        <f>N1170*O1170*P1170</f>
        <v/>
      </c>
    </row>
    <row r="1171">
      <c r="A1171" t="inlineStr">
        <is>
          <t>2026-08-18</t>
        </is>
      </c>
      <c r="B1171" t="inlineStr">
        <is>
          <t>야간</t>
        </is>
      </c>
      <c r="C1171" t="inlineStr">
        <is>
          <t>P3</t>
        </is>
      </c>
      <c r="D1171" t="inlineStr">
        <is>
          <t>소결</t>
        </is>
      </c>
      <c r="E1171" t="inlineStr">
        <is>
          <t>SF-02</t>
        </is>
      </c>
      <c r="F1171" t="n">
        <v>480</v>
      </c>
      <c r="G1171" t="n">
        <v>124</v>
      </c>
      <c r="H1171" t="inlineStr">
        <is>
          <t>재가열</t>
        </is>
      </c>
      <c r="I1171" t="n">
        <v>6.5</v>
      </c>
      <c r="J1171" t="n">
        <v>2807</v>
      </c>
      <c r="K1171" t="n">
        <v>2624</v>
      </c>
      <c r="L1171" t="inlineStr">
        <is>
          <t>L-0809</t>
        </is>
      </c>
      <c r="M1171">
        <f>F1171-G1171</f>
        <v/>
      </c>
      <c r="N1171" s="2">
        <f>M1171/F1171</f>
        <v/>
      </c>
      <c r="O1171" s="2">
        <f>I1171*J1171/60/M1171</f>
        <v/>
      </c>
      <c r="P1171" s="2">
        <f>K1171/J1171</f>
        <v/>
      </c>
      <c r="Q1171" s="2">
        <f>N1171*O1171*P1171</f>
        <v/>
      </c>
    </row>
    <row r="1172">
      <c r="A1172" t="inlineStr">
        <is>
          <t>2026-08-18</t>
        </is>
      </c>
      <c r="B1172" t="inlineStr">
        <is>
          <t>야간</t>
        </is>
      </c>
      <c r="C1172" t="inlineStr">
        <is>
          <t>P4</t>
        </is>
      </c>
      <c r="D1172" t="inlineStr">
        <is>
          <t>연삭</t>
        </is>
      </c>
      <c r="E1172" t="inlineStr">
        <is>
          <t>GR-01</t>
        </is>
      </c>
      <c r="F1172" t="n">
        <v>480</v>
      </c>
      <c r="G1172" t="n">
        <v>54</v>
      </c>
      <c r="H1172" t="inlineStr">
        <is>
          <t>공구 교체</t>
        </is>
      </c>
      <c r="I1172" t="n">
        <v>6.2</v>
      </c>
      <c r="J1172" t="n">
        <v>3734</v>
      </c>
      <c r="K1172" t="n">
        <v>3687</v>
      </c>
      <c r="L1172" t="inlineStr">
        <is>
          <t>L-0809</t>
        </is>
      </c>
      <c r="M1172">
        <f>F1172-G1172</f>
        <v/>
      </c>
      <c r="N1172" s="2">
        <f>M1172/F1172</f>
        <v/>
      </c>
      <c r="O1172" s="2">
        <f>I1172*J1172/60/M1172</f>
        <v/>
      </c>
      <c r="P1172" s="2">
        <f>K1172/J1172</f>
        <v/>
      </c>
      <c r="Q1172" s="2">
        <f>N1172*O1172*P1172</f>
        <v/>
      </c>
    </row>
    <row r="1173">
      <c r="A1173" t="inlineStr">
        <is>
          <t>2026-08-18</t>
        </is>
      </c>
      <c r="B1173" t="inlineStr">
        <is>
          <t>야간</t>
        </is>
      </c>
      <c r="C1173" t="inlineStr">
        <is>
          <t>P4</t>
        </is>
      </c>
      <c r="D1173" t="inlineStr">
        <is>
          <t>연삭</t>
        </is>
      </c>
      <c r="E1173" t="inlineStr">
        <is>
          <t>GR-02</t>
        </is>
      </c>
      <c r="F1173" t="n">
        <v>480</v>
      </c>
      <c r="G1173" t="n">
        <v>42</v>
      </c>
      <c r="H1173" t="inlineStr">
        <is>
          <t>공구 교체</t>
        </is>
      </c>
      <c r="I1173" t="n">
        <v>6.2</v>
      </c>
      <c r="J1173" t="n">
        <v>3969</v>
      </c>
      <c r="K1173" t="n">
        <v>3924</v>
      </c>
      <c r="L1173" t="inlineStr">
        <is>
          <t>L-0809</t>
        </is>
      </c>
      <c r="M1173">
        <f>F1173-G1173</f>
        <v/>
      </c>
      <c r="N1173" s="2">
        <f>M1173/F1173</f>
        <v/>
      </c>
      <c r="O1173" s="2">
        <f>I1173*J1173/60/M1173</f>
        <v/>
      </c>
      <c r="P1173" s="2">
        <f>K1173/J1173</f>
        <v/>
      </c>
      <c r="Q1173" s="2">
        <f>N1173*O1173*P1173</f>
        <v/>
      </c>
    </row>
    <row r="1174">
      <c r="A1174" t="inlineStr">
        <is>
          <t>2026-08-18</t>
        </is>
      </c>
      <c r="B1174" t="inlineStr">
        <is>
          <t>야간</t>
        </is>
      </c>
      <c r="C1174" t="inlineStr">
        <is>
          <t>P5</t>
        </is>
      </c>
      <c r="D1174" t="inlineStr">
        <is>
          <t>검사</t>
        </is>
      </c>
      <c r="E1174" t="inlineStr">
        <is>
          <t>IN-01</t>
        </is>
      </c>
      <c r="F1174" t="n">
        <v>480</v>
      </c>
      <c r="G1174" t="n">
        <v>14</v>
      </c>
      <c r="H1174" t="inlineStr">
        <is>
          <t>샘플 재검</t>
        </is>
      </c>
      <c r="I1174" t="n">
        <v>5.5</v>
      </c>
      <c r="J1174" t="n">
        <v>4602</v>
      </c>
      <c r="K1174" t="n">
        <v>4585</v>
      </c>
      <c r="L1174" t="inlineStr">
        <is>
          <t>L-0809</t>
        </is>
      </c>
      <c r="M1174">
        <f>F1174-G1174</f>
        <v/>
      </c>
      <c r="N1174" s="2">
        <f>M1174/F1174</f>
        <v/>
      </c>
      <c r="O1174" s="2">
        <f>I1174*J1174/60/M1174</f>
        <v/>
      </c>
      <c r="P1174" s="2">
        <f>K1174/J1174</f>
        <v/>
      </c>
      <c r="Q1174" s="2">
        <f>N1174*O1174*P1174</f>
        <v/>
      </c>
    </row>
    <row r="1175">
      <c r="A1175" t="inlineStr">
        <is>
          <t>2026-08-18</t>
        </is>
      </c>
      <c r="B1175" t="inlineStr">
        <is>
          <t>야간</t>
        </is>
      </c>
      <c r="C1175" t="inlineStr">
        <is>
          <t>P5</t>
        </is>
      </c>
      <c r="D1175" t="inlineStr">
        <is>
          <t>검사</t>
        </is>
      </c>
      <c r="E1175" t="inlineStr">
        <is>
          <t>IN-02</t>
        </is>
      </c>
      <c r="F1175" t="n">
        <v>480</v>
      </c>
      <c r="G1175" t="n">
        <v>78</v>
      </c>
      <c r="H1175" t="inlineStr">
        <is>
          <t>측정기 교정</t>
        </is>
      </c>
      <c r="I1175" t="n">
        <v>5.5</v>
      </c>
      <c r="J1175" t="n">
        <v>3910</v>
      </c>
      <c r="K1175" t="n">
        <v>3894</v>
      </c>
      <c r="L1175" t="inlineStr">
        <is>
          <t>L-0809</t>
        </is>
      </c>
      <c r="M1175">
        <f>F1175-G1175</f>
        <v/>
      </c>
      <c r="N1175" s="2">
        <f>M1175/F1175</f>
        <v/>
      </c>
      <c r="O1175" s="2">
        <f>I1175*J1175/60/M1175</f>
        <v/>
      </c>
      <c r="P1175" s="2">
        <f>K1175/J1175</f>
        <v/>
      </c>
      <c r="Q1175" s="2">
        <f>N1175*O1175*P1175</f>
        <v/>
      </c>
    </row>
    <row r="1176">
      <c r="A1176" t="inlineStr">
        <is>
          <t>2026-08-18</t>
        </is>
      </c>
      <c r="B1176" t="inlineStr">
        <is>
          <t>야간</t>
        </is>
      </c>
      <c r="C1176" t="inlineStr">
        <is>
          <t>P6</t>
        </is>
      </c>
      <c r="D1176" t="inlineStr">
        <is>
          <t>포장</t>
        </is>
      </c>
      <c r="E1176" t="inlineStr">
        <is>
          <t>PK-01</t>
        </is>
      </c>
      <c r="F1176" t="n">
        <v>480</v>
      </c>
      <c r="G1176" t="n">
        <v>6</v>
      </c>
      <c r="H1176" t="inlineStr">
        <is>
          <t>라벨 교체</t>
        </is>
      </c>
      <c r="I1176" t="n">
        <v>4.8</v>
      </c>
      <c r="J1176" t="n">
        <v>5675</v>
      </c>
      <c r="K1176" t="n">
        <v>5654</v>
      </c>
      <c r="L1176" t="inlineStr">
        <is>
          <t>L-0809</t>
        </is>
      </c>
      <c r="M1176">
        <f>F1176-G1176</f>
        <v/>
      </c>
      <c r="N1176" s="2">
        <f>M1176/F1176</f>
        <v/>
      </c>
      <c r="O1176" s="2">
        <f>I1176*J1176/60/M1176</f>
        <v/>
      </c>
      <c r="P1176" s="2">
        <f>K1176/J1176</f>
        <v/>
      </c>
      <c r="Q1176" s="2">
        <f>N1176*O1176*P1176</f>
        <v/>
      </c>
    </row>
    <row r="1177">
      <c r="A1177" t="inlineStr">
        <is>
          <t>2026-08-18</t>
        </is>
      </c>
      <c r="B1177" t="inlineStr">
        <is>
          <t>야간</t>
        </is>
      </c>
      <c r="C1177" t="inlineStr">
        <is>
          <t>P6</t>
        </is>
      </c>
      <c r="D1177" t="inlineStr">
        <is>
          <t>포장</t>
        </is>
      </c>
      <c r="E1177" t="inlineStr">
        <is>
          <t>PK-02</t>
        </is>
      </c>
      <c r="F1177" t="n">
        <v>480</v>
      </c>
      <c r="G1177" t="n">
        <v>14</v>
      </c>
      <c r="H1177" t="inlineStr">
        <is>
          <t>자재 대기</t>
        </is>
      </c>
      <c r="I1177" t="n">
        <v>4.8</v>
      </c>
      <c r="J1177" t="n">
        <v>5612</v>
      </c>
      <c r="K1177" t="n">
        <v>5596</v>
      </c>
      <c r="L1177" t="inlineStr">
        <is>
          <t>L-0809</t>
        </is>
      </c>
      <c r="M1177">
        <f>F1177-G1177</f>
        <v/>
      </c>
      <c r="N1177" s="2">
        <f>M1177/F1177</f>
        <v/>
      </c>
      <c r="O1177" s="2">
        <f>I1177*J1177/60/M1177</f>
        <v/>
      </c>
      <c r="P1177" s="2">
        <f>K1177/J1177</f>
        <v/>
      </c>
      <c r="Q1177" s="2">
        <f>N1177*O1177*P1177</f>
        <v/>
      </c>
    </row>
    <row r="1178">
      <c r="A1178" t="inlineStr">
        <is>
          <t>2026-08-19</t>
        </is>
      </c>
      <c r="B1178" t="inlineStr">
        <is>
          <t>주간</t>
        </is>
      </c>
      <c r="C1178" t="inlineStr">
        <is>
          <t>P1</t>
        </is>
      </c>
      <c r="D1178" t="inlineStr">
        <is>
          <t>원료혼합</t>
        </is>
      </c>
      <c r="E1178" t="inlineStr">
        <is>
          <t>MX-01</t>
        </is>
      </c>
      <c r="F1178" t="n">
        <v>480</v>
      </c>
      <c r="G1178" t="n">
        <v>6</v>
      </c>
      <c r="H1178" t="inlineStr">
        <is>
          <t>배합 확인</t>
        </is>
      </c>
      <c r="I1178" t="n">
        <v>5</v>
      </c>
      <c r="J1178" t="n">
        <v>5039</v>
      </c>
      <c r="K1178" t="n">
        <v>5010</v>
      </c>
      <c r="L1178" t="inlineStr">
        <is>
          <t>L-0809</t>
        </is>
      </c>
      <c r="M1178">
        <f>F1178-G1178</f>
        <v/>
      </c>
      <c r="N1178" s="2">
        <f>M1178/F1178</f>
        <v/>
      </c>
      <c r="O1178" s="2">
        <f>I1178*J1178/60/M1178</f>
        <v/>
      </c>
      <c r="P1178" s="2">
        <f>K1178/J1178</f>
        <v/>
      </c>
      <c r="Q1178" s="2">
        <f>N1178*O1178*P1178</f>
        <v/>
      </c>
    </row>
    <row r="1179">
      <c r="A1179" t="inlineStr">
        <is>
          <t>2026-08-19</t>
        </is>
      </c>
      <c r="B1179" t="inlineStr">
        <is>
          <t>주간</t>
        </is>
      </c>
      <c r="C1179" t="inlineStr">
        <is>
          <t>P1</t>
        </is>
      </c>
      <c r="D1179" t="inlineStr">
        <is>
          <t>원료혼합</t>
        </is>
      </c>
      <c r="E1179" t="inlineStr">
        <is>
          <t>MX-02</t>
        </is>
      </c>
      <c r="F1179" t="n">
        <v>480</v>
      </c>
      <c r="G1179" t="n">
        <v>42</v>
      </c>
      <c r="H1179" t="inlineStr">
        <is>
          <t>청소</t>
        </is>
      </c>
      <c r="I1179" t="n">
        <v>5</v>
      </c>
      <c r="J1179" t="n">
        <v>4858</v>
      </c>
      <c r="K1179" t="n">
        <v>4832</v>
      </c>
      <c r="L1179" t="inlineStr">
        <is>
          <t>L-0809</t>
        </is>
      </c>
      <c r="M1179">
        <f>F1179-G1179</f>
        <v/>
      </c>
      <c r="N1179" s="2">
        <f>M1179/F1179</f>
        <v/>
      </c>
      <c r="O1179" s="2">
        <f>I1179*J1179/60/M1179</f>
        <v/>
      </c>
      <c r="P1179" s="2">
        <f>K1179/J1179</f>
        <v/>
      </c>
      <c r="Q1179" s="2">
        <f>N1179*O1179*P1179</f>
        <v/>
      </c>
    </row>
    <row r="1180">
      <c r="A1180" t="inlineStr">
        <is>
          <t>2026-08-19</t>
        </is>
      </c>
      <c r="B1180" t="inlineStr">
        <is>
          <t>주간</t>
        </is>
      </c>
      <c r="C1180" t="inlineStr">
        <is>
          <t>P2</t>
        </is>
      </c>
      <c r="D1180" t="inlineStr">
        <is>
          <t>성형</t>
        </is>
      </c>
      <c r="E1180" t="inlineStr">
        <is>
          <t>PR-01</t>
        </is>
      </c>
      <c r="F1180" t="n">
        <v>480</v>
      </c>
      <c r="G1180" t="n">
        <v>4</v>
      </c>
      <c r="H1180" t="inlineStr">
        <is>
          <t>분말 공급 지연</t>
        </is>
      </c>
      <c r="I1180" t="n">
        <v>6</v>
      </c>
      <c r="J1180" t="n">
        <v>4235</v>
      </c>
      <c r="K1180" t="n">
        <v>4182</v>
      </c>
      <c r="L1180" t="inlineStr">
        <is>
          <t>L-0809</t>
        </is>
      </c>
      <c r="M1180">
        <f>F1180-G1180</f>
        <v/>
      </c>
      <c r="N1180" s="2">
        <f>M1180/F1180</f>
        <v/>
      </c>
      <c r="O1180" s="2">
        <f>I1180*J1180/60/M1180</f>
        <v/>
      </c>
      <c r="P1180" s="2">
        <f>K1180/J1180</f>
        <v/>
      </c>
      <c r="Q1180" s="2">
        <f>N1180*O1180*P1180</f>
        <v/>
      </c>
    </row>
    <row r="1181">
      <c r="A1181" t="inlineStr">
        <is>
          <t>2026-08-19</t>
        </is>
      </c>
      <c r="B1181" t="inlineStr">
        <is>
          <t>주간</t>
        </is>
      </c>
      <c r="C1181" t="inlineStr">
        <is>
          <t>P2</t>
        </is>
      </c>
      <c r="D1181" t="inlineStr">
        <is>
          <t>성형</t>
        </is>
      </c>
      <c r="E1181" t="inlineStr">
        <is>
          <t>PR-02</t>
        </is>
      </c>
      <c r="F1181" t="n">
        <v>480</v>
      </c>
      <c r="G1181" t="n">
        <v>36</v>
      </c>
      <c r="H1181" t="inlineStr">
        <is>
          <t>압력 이상</t>
        </is>
      </c>
      <c r="I1181" t="n">
        <v>6</v>
      </c>
      <c r="J1181" t="n">
        <v>4026</v>
      </c>
      <c r="K1181" t="n">
        <v>3953</v>
      </c>
      <c r="L1181" t="inlineStr">
        <is>
          <t>L-0809</t>
        </is>
      </c>
      <c r="M1181">
        <f>F1181-G1181</f>
        <v/>
      </c>
      <c r="N1181" s="2">
        <f>M1181/F1181</f>
        <v/>
      </c>
      <c r="O1181" s="2">
        <f>I1181*J1181/60/M1181</f>
        <v/>
      </c>
      <c r="P1181" s="2">
        <f>K1181/J1181</f>
        <v/>
      </c>
      <c r="Q1181" s="2">
        <f>N1181*O1181*P1181</f>
        <v/>
      </c>
    </row>
    <row r="1182">
      <c r="A1182" t="inlineStr">
        <is>
          <t>2026-08-19</t>
        </is>
      </c>
      <c r="B1182" t="inlineStr">
        <is>
          <t>주간</t>
        </is>
      </c>
      <c r="C1182" t="inlineStr">
        <is>
          <t>P3</t>
        </is>
      </c>
      <c r="D1182" t="inlineStr">
        <is>
          <t>소결</t>
        </is>
      </c>
      <c r="E1182" t="inlineStr">
        <is>
          <t>SF-01</t>
        </is>
      </c>
      <c r="F1182" t="n">
        <v>480</v>
      </c>
      <c r="G1182" t="n">
        <v>57</v>
      </c>
      <c r="H1182" t="inlineStr">
        <is>
          <t>장입 대기</t>
        </is>
      </c>
      <c r="I1182" t="n">
        <v>6.5</v>
      </c>
      <c r="J1182" t="n">
        <v>3601</v>
      </c>
      <c r="K1182" t="n">
        <v>3454</v>
      </c>
      <c r="L1182" t="inlineStr">
        <is>
          <t>L-0809</t>
        </is>
      </c>
      <c r="M1182">
        <f>F1182-G1182</f>
        <v/>
      </c>
      <c r="N1182" s="2">
        <f>M1182/F1182</f>
        <v/>
      </c>
      <c r="O1182" s="2">
        <f>I1182*J1182/60/M1182</f>
        <v/>
      </c>
      <c r="P1182" s="2">
        <f>K1182/J1182</f>
        <v/>
      </c>
      <c r="Q1182" s="2">
        <f>N1182*O1182*P1182</f>
        <v/>
      </c>
    </row>
    <row r="1183">
      <c r="A1183" t="inlineStr">
        <is>
          <t>2026-08-19</t>
        </is>
      </c>
      <c r="B1183" t="inlineStr">
        <is>
          <t>주간</t>
        </is>
      </c>
      <c r="C1183" t="inlineStr">
        <is>
          <t>P3</t>
        </is>
      </c>
      <c r="D1183" t="inlineStr">
        <is>
          <t>소결</t>
        </is>
      </c>
      <c r="E1183" t="inlineStr">
        <is>
          <t>SF-02</t>
        </is>
      </c>
      <c r="F1183" t="n">
        <v>480</v>
      </c>
      <c r="G1183" t="n">
        <v>87</v>
      </c>
      <c r="H1183" t="inlineStr">
        <is>
          <t>재가열</t>
        </is>
      </c>
      <c r="I1183" t="n">
        <v>6.5</v>
      </c>
      <c r="J1183" t="n">
        <v>3188</v>
      </c>
      <c r="K1183" t="n">
        <v>2992</v>
      </c>
      <c r="L1183" t="inlineStr">
        <is>
          <t>L-0809</t>
        </is>
      </c>
      <c r="M1183">
        <f>F1183-G1183</f>
        <v/>
      </c>
      <c r="N1183" s="2">
        <f>M1183/F1183</f>
        <v/>
      </c>
      <c r="O1183" s="2">
        <f>I1183*J1183/60/M1183</f>
        <v/>
      </c>
      <c r="P1183" s="2">
        <f>K1183/J1183</f>
        <v/>
      </c>
      <c r="Q1183" s="2">
        <f>N1183*O1183*P1183</f>
        <v/>
      </c>
    </row>
    <row r="1184">
      <c r="A1184" t="inlineStr">
        <is>
          <t>2026-08-19</t>
        </is>
      </c>
      <c r="B1184" t="inlineStr">
        <is>
          <t>주간</t>
        </is>
      </c>
      <c r="C1184" t="inlineStr">
        <is>
          <t>P4</t>
        </is>
      </c>
      <c r="D1184" t="inlineStr">
        <is>
          <t>연삭</t>
        </is>
      </c>
      <c r="E1184" t="inlineStr">
        <is>
          <t>GR-01</t>
        </is>
      </c>
      <c r="F1184" t="n">
        <v>480</v>
      </c>
      <c r="G1184" t="n">
        <v>70</v>
      </c>
      <c r="H1184" t="inlineStr">
        <is>
          <t>공구 교체</t>
        </is>
      </c>
      <c r="I1184" t="n">
        <v>6.2</v>
      </c>
      <c r="J1184" t="n">
        <v>3635</v>
      </c>
      <c r="K1184" t="n">
        <v>3595</v>
      </c>
      <c r="L1184" t="inlineStr">
        <is>
          <t>L-0809</t>
        </is>
      </c>
      <c r="M1184">
        <f>F1184-G1184</f>
        <v/>
      </c>
      <c r="N1184" s="2">
        <f>M1184/F1184</f>
        <v/>
      </c>
      <c r="O1184" s="2">
        <f>I1184*J1184/60/M1184</f>
        <v/>
      </c>
      <c r="P1184" s="2">
        <f>K1184/J1184</f>
        <v/>
      </c>
      <c r="Q1184" s="2">
        <f>N1184*O1184*P1184</f>
        <v/>
      </c>
    </row>
    <row r="1185">
      <c r="A1185" t="inlineStr">
        <is>
          <t>2026-08-19</t>
        </is>
      </c>
      <c r="B1185" t="inlineStr">
        <is>
          <t>주간</t>
        </is>
      </c>
      <c r="C1185" t="inlineStr">
        <is>
          <t>P4</t>
        </is>
      </c>
      <c r="D1185" t="inlineStr">
        <is>
          <t>연삭</t>
        </is>
      </c>
      <c r="E1185" t="inlineStr">
        <is>
          <t>GR-02</t>
        </is>
      </c>
      <c r="F1185" t="n">
        <v>480</v>
      </c>
      <c r="G1185" t="n">
        <v>48</v>
      </c>
      <c r="H1185" t="inlineStr">
        <is>
          <t>공구 교체</t>
        </is>
      </c>
      <c r="I1185" t="n">
        <v>6.2</v>
      </c>
      <c r="J1185" t="n">
        <v>4037</v>
      </c>
      <c r="K1185" t="n">
        <v>3997</v>
      </c>
      <c r="L1185" t="inlineStr">
        <is>
          <t>L-0809</t>
        </is>
      </c>
      <c r="M1185">
        <f>F1185-G1185</f>
        <v/>
      </c>
      <c r="N1185" s="2">
        <f>M1185/F1185</f>
        <v/>
      </c>
      <c r="O1185" s="2">
        <f>I1185*J1185/60/M1185</f>
        <v/>
      </c>
      <c r="P1185" s="2">
        <f>K1185/J1185</f>
        <v/>
      </c>
      <c r="Q1185" s="2">
        <f>N1185*O1185*P1185</f>
        <v/>
      </c>
    </row>
    <row r="1186">
      <c r="A1186" t="inlineStr">
        <is>
          <t>2026-08-19</t>
        </is>
      </c>
      <c r="B1186" t="inlineStr">
        <is>
          <t>주간</t>
        </is>
      </c>
      <c r="C1186" t="inlineStr">
        <is>
          <t>P5</t>
        </is>
      </c>
      <c r="D1186" t="inlineStr">
        <is>
          <t>검사</t>
        </is>
      </c>
      <c r="E1186" t="inlineStr">
        <is>
          <t>IN-01</t>
        </is>
      </c>
      <c r="F1186" t="n">
        <v>480</v>
      </c>
      <c r="G1186" t="n">
        <v>17</v>
      </c>
      <c r="H1186" t="inlineStr">
        <is>
          <t>측정기 교정</t>
        </is>
      </c>
      <c r="I1186" t="n">
        <v>5.5</v>
      </c>
      <c r="J1186" t="n">
        <v>4574</v>
      </c>
      <c r="K1186" t="n">
        <v>4562</v>
      </c>
      <c r="L1186" t="inlineStr">
        <is>
          <t>L-0809</t>
        </is>
      </c>
      <c r="M1186">
        <f>F1186-G1186</f>
        <v/>
      </c>
      <c r="N1186" s="2">
        <f>M1186/F1186</f>
        <v/>
      </c>
      <c r="O1186" s="2">
        <f>I1186*J1186/60/M1186</f>
        <v/>
      </c>
      <c r="P1186" s="2">
        <f>K1186/J1186</f>
        <v/>
      </c>
      <c r="Q1186" s="2">
        <f>N1186*O1186*P1186</f>
        <v/>
      </c>
    </row>
    <row r="1187">
      <c r="A1187" t="inlineStr">
        <is>
          <t>2026-08-19</t>
        </is>
      </c>
      <c r="B1187" t="inlineStr">
        <is>
          <t>주간</t>
        </is>
      </c>
      <c r="C1187" t="inlineStr">
        <is>
          <t>P5</t>
        </is>
      </c>
      <c r="D1187" t="inlineStr">
        <is>
          <t>검사</t>
        </is>
      </c>
      <c r="E1187" t="inlineStr">
        <is>
          <t>IN-02</t>
        </is>
      </c>
      <c r="F1187" t="n">
        <v>480</v>
      </c>
      <c r="G1187" t="n">
        <v>39</v>
      </c>
      <c r="H1187" t="inlineStr">
        <is>
          <t>측정기 교정</t>
        </is>
      </c>
      <c r="I1187" t="n">
        <v>5.5</v>
      </c>
      <c r="J1187" t="n">
        <v>4568</v>
      </c>
      <c r="K1187" t="n">
        <v>4552</v>
      </c>
      <c r="L1187" t="inlineStr">
        <is>
          <t>L-0809</t>
        </is>
      </c>
      <c r="M1187">
        <f>F1187-G1187</f>
        <v/>
      </c>
      <c r="N1187" s="2">
        <f>M1187/F1187</f>
        <v/>
      </c>
      <c r="O1187" s="2">
        <f>I1187*J1187/60/M1187</f>
        <v/>
      </c>
      <c r="P1187" s="2">
        <f>K1187/J1187</f>
        <v/>
      </c>
      <c r="Q1187" s="2">
        <f>N1187*O1187*P1187</f>
        <v/>
      </c>
    </row>
    <row r="1188">
      <c r="A1188" t="inlineStr">
        <is>
          <t>2026-08-19</t>
        </is>
      </c>
      <c r="B1188" t="inlineStr">
        <is>
          <t>주간</t>
        </is>
      </c>
      <c r="C1188" t="inlineStr">
        <is>
          <t>P6</t>
        </is>
      </c>
      <c r="D1188" t="inlineStr">
        <is>
          <t>포장</t>
        </is>
      </c>
      <c r="E1188" t="inlineStr">
        <is>
          <t>PK-01</t>
        </is>
      </c>
      <c r="F1188" t="n">
        <v>480</v>
      </c>
      <c r="G1188" t="n">
        <v>10</v>
      </c>
      <c r="H1188" t="inlineStr">
        <is>
          <t>라벨 교체</t>
        </is>
      </c>
      <c r="I1188" t="n">
        <v>4.8</v>
      </c>
      <c r="J1188" t="n">
        <v>5666</v>
      </c>
      <c r="K1188" t="n">
        <v>5653</v>
      </c>
      <c r="L1188" t="inlineStr">
        <is>
          <t>L-0809</t>
        </is>
      </c>
      <c r="M1188">
        <f>F1188-G1188</f>
        <v/>
      </c>
      <c r="N1188" s="2">
        <f>M1188/F1188</f>
        <v/>
      </c>
      <c r="O1188" s="2">
        <f>I1188*J1188/60/M1188</f>
        <v/>
      </c>
      <c r="P1188" s="2">
        <f>K1188/J1188</f>
        <v/>
      </c>
      <c r="Q1188" s="2">
        <f>N1188*O1188*P1188</f>
        <v/>
      </c>
    </row>
    <row r="1189">
      <c r="A1189" t="inlineStr">
        <is>
          <t>2026-08-19</t>
        </is>
      </c>
      <c r="B1189" t="inlineStr">
        <is>
          <t>주간</t>
        </is>
      </c>
      <c r="C1189" t="inlineStr">
        <is>
          <t>P6</t>
        </is>
      </c>
      <c r="D1189" t="inlineStr">
        <is>
          <t>포장</t>
        </is>
      </c>
      <c r="E1189" t="inlineStr">
        <is>
          <t>PK-02</t>
        </is>
      </c>
      <c r="F1189" t="n">
        <v>480</v>
      </c>
      <c r="G1189" t="n">
        <v>24</v>
      </c>
      <c r="H1189" t="inlineStr">
        <is>
          <t>라벨 교체</t>
        </is>
      </c>
      <c r="I1189" t="n">
        <v>4.8</v>
      </c>
      <c r="J1189" t="n">
        <v>5159</v>
      </c>
      <c r="K1189" t="n">
        <v>5149</v>
      </c>
      <c r="L1189" t="inlineStr">
        <is>
          <t>L-0809</t>
        </is>
      </c>
      <c r="M1189">
        <f>F1189-G1189</f>
        <v/>
      </c>
      <c r="N1189" s="2">
        <f>M1189/F1189</f>
        <v/>
      </c>
      <c r="O1189" s="2">
        <f>I1189*J1189/60/M1189</f>
        <v/>
      </c>
      <c r="P1189" s="2">
        <f>K1189/J1189</f>
        <v/>
      </c>
      <c r="Q1189" s="2">
        <f>N1189*O1189*P1189</f>
        <v/>
      </c>
    </row>
    <row r="1190">
      <c r="A1190" t="inlineStr">
        <is>
          <t>2026-08-19</t>
        </is>
      </c>
      <c r="B1190" t="inlineStr">
        <is>
          <t>야간</t>
        </is>
      </c>
      <c r="C1190" t="inlineStr">
        <is>
          <t>P1</t>
        </is>
      </c>
      <c r="D1190" t="inlineStr">
        <is>
          <t>원료혼합</t>
        </is>
      </c>
      <c r="E1190" t="inlineStr">
        <is>
          <t>MX-01</t>
        </is>
      </c>
      <c r="F1190" t="n">
        <v>480</v>
      </c>
      <c r="G1190" t="n">
        <v>52</v>
      </c>
      <c r="H1190" t="inlineStr">
        <is>
          <t>배합 확인</t>
        </is>
      </c>
      <c r="I1190" t="n">
        <v>5</v>
      </c>
      <c r="J1190" t="n">
        <v>4647</v>
      </c>
      <c r="K1190" t="n">
        <v>4610</v>
      </c>
      <c r="L1190" t="inlineStr">
        <is>
          <t>L-0809</t>
        </is>
      </c>
      <c r="M1190">
        <f>F1190-G1190</f>
        <v/>
      </c>
      <c r="N1190" s="2">
        <f>M1190/F1190</f>
        <v/>
      </c>
      <c r="O1190" s="2">
        <f>I1190*J1190/60/M1190</f>
        <v/>
      </c>
      <c r="P1190" s="2">
        <f>K1190/J1190</f>
        <v/>
      </c>
      <c r="Q1190" s="2">
        <f>N1190*O1190*P1190</f>
        <v/>
      </c>
    </row>
    <row r="1191">
      <c r="A1191" t="inlineStr">
        <is>
          <t>2026-08-19</t>
        </is>
      </c>
      <c r="B1191" t="inlineStr">
        <is>
          <t>야간</t>
        </is>
      </c>
      <c r="C1191" t="inlineStr">
        <is>
          <t>P1</t>
        </is>
      </c>
      <c r="D1191" t="inlineStr">
        <is>
          <t>원료혼합</t>
        </is>
      </c>
      <c r="E1191" t="inlineStr">
        <is>
          <t>MX-02</t>
        </is>
      </c>
      <c r="F1191" t="n">
        <v>480</v>
      </c>
      <c r="G1191" t="n">
        <v>6</v>
      </c>
      <c r="H1191" t="inlineStr">
        <is>
          <t>원료 대기</t>
        </is>
      </c>
      <c r="I1191" t="n">
        <v>5</v>
      </c>
      <c r="J1191" t="n">
        <v>5338</v>
      </c>
      <c r="K1191" t="n">
        <v>5306</v>
      </c>
      <c r="L1191" t="inlineStr">
        <is>
          <t>L-0809</t>
        </is>
      </c>
      <c r="M1191">
        <f>F1191-G1191</f>
        <v/>
      </c>
      <c r="N1191" s="2">
        <f>M1191/F1191</f>
        <v/>
      </c>
      <c r="O1191" s="2">
        <f>I1191*J1191/60/M1191</f>
        <v/>
      </c>
      <c r="P1191" s="2">
        <f>K1191/J1191</f>
        <v/>
      </c>
      <c r="Q1191" s="2">
        <f>N1191*O1191*P1191</f>
        <v/>
      </c>
    </row>
    <row r="1192">
      <c r="A1192" t="inlineStr">
        <is>
          <t>2026-08-19</t>
        </is>
      </c>
      <c r="B1192" t="inlineStr">
        <is>
          <t>야간</t>
        </is>
      </c>
      <c r="C1192" t="inlineStr">
        <is>
          <t>P2</t>
        </is>
      </c>
      <c r="D1192" t="inlineStr">
        <is>
          <t>성형</t>
        </is>
      </c>
      <c r="E1192" t="inlineStr">
        <is>
          <t>PR-01</t>
        </is>
      </c>
      <c r="F1192" t="n">
        <v>480</v>
      </c>
      <c r="G1192" t="n">
        <v>5</v>
      </c>
      <c r="H1192" t="inlineStr">
        <is>
          <t>금형 교체</t>
        </is>
      </c>
      <c r="I1192" t="n">
        <v>6</v>
      </c>
      <c r="J1192" t="n">
        <v>4590</v>
      </c>
      <c r="K1192" t="n">
        <v>4515</v>
      </c>
      <c r="L1192" t="inlineStr">
        <is>
          <t>L-0809</t>
        </is>
      </c>
      <c r="M1192">
        <f>F1192-G1192</f>
        <v/>
      </c>
      <c r="N1192" s="2">
        <f>M1192/F1192</f>
        <v/>
      </c>
      <c r="O1192" s="2">
        <f>I1192*J1192/60/M1192</f>
        <v/>
      </c>
      <c r="P1192" s="2">
        <f>K1192/J1192</f>
        <v/>
      </c>
      <c r="Q1192" s="2">
        <f>N1192*O1192*P1192</f>
        <v/>
      </c>
    </row>
    <row r="1193">
      <c r="A1193" t="inlineStr">
        <is>
          <t>2026-08-19</t>
        </is>
      </c>
      <c r="B1193" t="inlineStr">
        <is>
          <t>야간</t>
        </is>
      </c>
      <c r="C1193" t="inlineStr">
        <is>
          <t>P2</t>
        </is>
      </c>
      <c r="D1193" t="inlineStr">
        <is>
          <t>성형</t>
        </is>
      </c>
      <c r="E1193" t="inlineStr">
        <is>
          <t>PR-02</t>
        </is>
      </c>
      <c r="F1193" t="n">
        <v>480</v>
      </c>
      <c r="G1193" t="n">
        <v>15</v>
      </c>
      <c r="H1193" t="inlineStr">
        <is>
          <t>압력 이상</t>
        </is>
      </c>
      <c r="I1193" t="n">
        <v>6</v>
      </c>
      <c r="J1193" t="n">
        <v>4442</v>
      </c>
      <c r="K1193" t="n">
        <v>4350</v>
      </c>
      <c r="L1193" t="inlineStr">
        <is>
          <t>L-0809</t>
        </is>
      </c>
      <c r="M1193">
        <f>F1193-G1193</f>
        <v/>
      </c>
      <c r="N1193" s="2">
        <f>M1193/F1193</f>
        <v/>
      </c>
      <c r="O1193" s="2">
        <f>I1193*J1193/60/M1193</f>
        <v/>
      </c>
      <c r="P1193" s="2">
        <f>K1193/J1193</f>
        <v/>
      </c>
      <c r="Q1193" s="2">
        <f>N1193*O1193*P1193</f>
        <v/>
      </c>
    </row>
    <row r="1194">
      <c r="A1194" t="inlineStr">
        <is>
          <t>2026-08-19</t>
        </is>
      </c>
      <c r="B1194" t="inlineStr">
        <is>
          <t>야간</t>
        </is>
      </c>
      <c r="C1194" t="inlineStr">
        <is>
          <t>P3</t>
        </is>
      </c>
      <c r="D1194" t="inlineStr">
        <is>
          <t>소결</t>
        </is>
      </c>
      <c r="E1194" t="inlineStr">
        <is>
          <t>SF-01</t>
        </is>
      </c>
      <c r="F1194" t="n">
        <v>480</v>
      </c>
      <c r="G1194" t="n">
        <v>29</v>
      </c>
      <c r="H1194" t="inlineStr">
        <is>
          <t>승온 대기</t>
        </is>
      </c>
      <c r="I1194" t="n">
        <v>6.5</v>
      </c>
      <c r="J1194" t="n">
        <v>4099</v>
      </c>
      <c r="K1194" t="n">
        <v>3939</v>
      </c>
      <c r="L1194" t="inlineStr">
        <is>
          <t>L-0809</t>
        </is>
      </c>
      <c r="M1194">
        <f>F1194-G1194</f>
        <v/>
      </c>
      <c r="N1194" s="2">
        <f>M1194/F1194</f>
        <v/>
      </c>
      <c r="O1194" s="2">
        <f>I1194*J1194/60/M1194</f>
        <v/>
      </c>
      <c r="P1194" s="2">
        <f>K1194/J1194</f>
        <v/>
      </c>
      <c r="Q1194" s="2">
        <f>N1194*O1194*P1194</f>
        <v/>
      </c>
    </row>
    <row r="1195">
      <c r="A1195" t="inlineStr">
        <is>
          <t>2026-08-19</t>
        </is>
      </c>
      <c r="B1195" t="inlineStr">
        <is>
          <t>야간</t>
        </is>
      </c>
      <c r="C1195" t="inlineStr">
        <is>
          <t>P3</t>
        </is>
      </c>
      <c r="D1195" t="inlineStr">
        <is>
          <t>소결</t>
        </is>
      </c>
      <c r="E1195" t="inlineStr">
        <is>
          <t>SF-02</t>
        </is>
      </c>
      <c r="F1195" t="n">
        <v>480</v>
      </c>
      <c r="G1195" t="n">
        <v>82</v>
      </c>
      <c r="H1195" t="inlineStr">
        <is>
          <t>재가열</t>
        </is>
      </c>
      <c r="I1195" t="n">
        <v>6.5</v>
      </c>
      <c r="J1195" t="n">
        <v>3275</v>
      </c>
      <c r="K1195" t="n">
        <v>2992</v>
      </c>
      <c r="L1195" t="inlineStr">
        <is>
          <t>L-0809</t>
        </is>
      </c>
      <c r="M1195">
        <f>F1195-G1195</f>
        <v/>
      </c>
      <c r="N1195" s="2">
        <f>M1195/F1195</f>
        <v/>
      </c>
      <c r="O1195" s="2">
        <f>I1195*J1195/60/M1195</f>
        <v/>
      </c>
      <c r="P1195" s="2">
        <f>K1195/J1195</f>
        <v/>
      </c>
      <c r="Q1195" s="2">
        <f>N1195*O1195*P1195</f>
        <v/>
      </c>
    </row>
    <row r="1196">
      <c r="A1196" t="inlineStr">
        <is>
          <t>2026-08-19</t>
        </is>
      </c>
      <c r="B1196" t="inlineStr">
        <is>
          <t>야간</t>
        </is>
      </c>
      <c r="C1196" t="inlineStr">
        <is>
          <t>P4</t>
        </is>
      </c>
      <c r="D1196" t="inlineStr">
        <is>
          <t>연삭</t>
        </is>
      </c>
      <c r="E1196" t="inlineStr">
        <is>
          <t>GR-01</t>
        </is>
      </c>
      <c r="F1196" t="n">
        <v>480</v>
      </c>
      <c r="G1196" t="n">
        <v>73</v>
      </c>
      <c r="H1196" t="inlineStr">
        <is>
          <t>공구 교체</t>
        </is>
      </c>
      <c r="I1196" t="n">
        <v>6.2</v>
      </c>
      <c r="J1196" t="n">
        <v>3581</v>
      </c>
      <c r="K1196" t="n">
        <v>3539</v>
      </c>
      <c r="L1196" t="inlineStr">
        <is>
          <t>L-0809</t>
        </is>
      </c>
      <c r="M1196">
        <f>F1196-G1196</f>
        <v/>
      </c>
      <c r="N1196" s="2">
        <f>M1196/F1196</f>
        <v/>
      </c>
      <c r="O1196" s="2">
        <f>I1196*J1196/60/M1196</f>
        <v/>
      </c>
      <c r="P1196" s="2">
        <f>K1196/J1196</f>
        <v/>
      </c>
      <c r="Q1196" s="2">
        <f>N1196*O1196*P1196</f>
        <v/>
      </c>
    </row>
    <row r="1197">
      <c r="A1197" t="inlineStr">
        <is>
          <t>2026-08-19</t>
        </is>
      </c>
      <c r="B1197" t="inlineStr">
        <is>
          <t>야간</t>
        </is>
      </c>
      <c r="C1197" t="inlineStr">
        <is>
          <t>P4</t>
        </is>
      </c>
      <c r="D1197" t="inlineStr">
        <is>
          <t>연삭</t>
        </is>
      </c>
      <c r="E1197" t="inlineStr">
        <is>
          <t>GR-02</t>
        </is>
      </c>
      <c r="F1197" t="n">
        <v>480</v>
      </c>
      <c r="G1197" t="n">
        <v>81</v>
      </c>
      <c r="H1197" t="inlineStr">
        <is>
          <t>공구 교체</t>
        </is>
      </c>
      <c r="I1197" t="n">
        <v>6.2</v>
      </c>
      <c r="J1197" t="n">
        <v>3612</v>
      </c>
      <c r="K1197" t="n">
        <v>3568</v>
      </c>
      <c r="L1197" t="inlineStr">
        <is>
          <t>L-0809</t>
        </is>
      </c>
      <c r="M1197">
        <f>F1197-G1197</f>
        <v/>
      </c>
      <c r="N1197" s="2">
        <f>M1197/F1197</f>
        <v/>
      </c>
      <c r="O1197" s="2">
        <f>I1197*J1197/60/M1197</f>
        <v/>
      </c>
      <c r="P1197" s="2">
        <f>K1197/J1197</f>
        <v/>
      </c>
      <c r="Q1197" s="2">
        <f>N1197*O1197*P1197</f>
        <v/>
      </c>
    </row>
    <row r="1198">
      <c r="A1198" t="inlineStr">
        <is>
          <t>2026-08-19</t>
        </is>
      </c>
      <c r="B1198" t="inlineStr">
        <is>
          <t>야간</t>
        </is>
      </c>
      <c r="C1198" t="inlineStr">
        <is>
          <t>P5</t>
        </is>
      </c>
      <c r="D1198" t="inlineStr">
        <is>
          <t>검사</t>
        </is>
      </c>
      <c r="E1198" t="inlineStr">
        <is>
          <t>IN-01</t>
        </is>
      </c>
      <c r="F1198" t="n">
        <v>480</v>
      </c>
      <c r="G1198" t="n">
        <v>32</v>
      </c>
      <c r="H1198" t="inlineStr">
        <is>
          <t>샘플 재검</t>
        </is>
      </c>
      <c r="I1198" t="n">
        <v>5.5</v>
      </c>
      <c r="J1198" t="n">
        <v>4761</v>
      </c>
      <c r="K1198" t="n">
        <v>4743</v>
      </c>
      <c r="L1198" t="inlineStr">
        <is>
          <t>L-0809</t>
        </is>
      </c>
      <c r="M1198">
        <f>F1198-G1198</f>
        <v/>
      </c>
      <c r="N1198" s="2">
        <f>M1198/F1198</f>
        <v/>
      </c>
      <c r="O1198" s="2">
        <f>I1198*J1198/60/M1198</f>
        <v/>
      </c>
      <c r="P1198" s="2">
        <f>K1198/J1198</f>
        <v/>
      </c>
      <c r="Q1198" s="2">
        <f>N1198*O1198*P1198</f>
        <v/>
      </c>
    </row>
    <row r="1199">
      <c r="A1199" t="inlineStr">
        <is>
          <t>2026-08-19</t>
        </is>
      </c>
      <c r="B1199" t="inlineStr">
        <is>
          <t>야간</t>
        </is>
      </c>
      <c r="C1199" t="inlineStr">
        <is>
          <t>P5</t>
        </is>
      </c>
      <c r="D1199" t="inlineStr">
        <is>
          <t>검사</t>
        </is>
      </c>
      <c r="E1199" t="inlineStr">
        <is>
          <t>IN-02</t>
        </is>
      </c>
      <c r="F1199" t="n">
        <v>480</v>
      </c>
      <c r="G1199" t="n">
        <v>2</v>
      </c>
      <c r="H1199" t="inlineStr">
        <is>
          <t>샘플 재검</t>
        </is>
      </c>
      <c r="I1199" t="n">
        <v>5.5</v>
      </c>
      <c r="J1199" t="n">
        <v>4713</v>
      </c>
      <c r="K1199" t="n">
        <v>4691</v>
      </c>
      <c r="L1199" t="inlineStr">
        <is>
          <t>L-0809</t>
        </is>
      </c>
      <c r="M1199">
        <f>F1199-G1199</f>
        <v/>
      </c>
      <c r="N1199" s="2">
        <f>M1199/F1199</f>
        <v/>
      </c>
      <c r="O1199" s="2">
        <f>I1199*J1199/60/M1199</f>
        <v/>
      </c>
      <c r="P1199" s="2">
        <f>K1199/J1199</f>
        <v/>
      </c>
      <c r="Q1199" s="2">
        <f>N1199*O1199*P1199</f>
        <v/>
      </c>
    </row>
    <row r="1200">
      <c r="A1200" t="inlineStr">
        <is>
          <t>2026-08-19</t>
        </is>
      </c>
      <c r="B1200" t="inlineStr">
        <is>
          <t>야간</t>
        </is>
      </c>
      <c r="C1200" t="inlineStr">
        <is>
          <t>P6</t>
        </is>
      </c>
      <c r="D1200" t="inlineStr">
        <is>
          <t>포장</t>
        </is>
      </c>
      <c r="E1200" t="inlineStr">
        <is>
          <t>PK-01</t>
        </is>
      </c>
      <c r="F1200" t="n">
        <v>480</v>
      </c>
      <c r="G1200" t="n">
        <v>42</v>
      </c>
      <c r="H1200" t="inlineStr">
        <is>
          <t>라벨 교체</t>
        </is>
      </c>
      <c r="I1200" t="n">
        <v>4.8</v>
      </c>
      <c r="J1200" t="n">
        <v>5022</v>
      </c>
      <c r="K1200" t="n">
        <v>5008</v>
      </c>
      <c r="L1200" t="inlineStr">
        <is>
          <t>L-0809</t>
        </is>
      </c>
      <c r="M1200">
        <f>F1200-G1200</f>
        <v/>
      </c>
      <c r="N1200" s="2">
        <f>M1200/F1200</f>
        <v/>
      </c>
      <c r="O1200" s="2">
        <f>I1200*J1200/60/M1200</f>
        <v/>
      </c>
      <c r="P1200" s="2">
        <f>K1200/J1200</f>
        <v/>
      </c>
      <c r="Q1200" s="2">
        <f>N1200*O1200*P1200</f>
        <v/>
      </c>
    </row>
    <row r="1201">
      <c r="A1201" t="inlineStr">
        <is>
          <t>2026-08-19</t>
        </is>
      </c>
      <c r="B1201" t="inlineStr">
        <is>
          <t>야간</t>
        </is>
      </c>
      <c r="C1201" t="inlineStr">
        <is>
          <t>P6</t>
        </is>
      </c>
      <c r="D1201" t="inlineStr">
        <is>
          <t>포장</t>
        </is>
      </c>
      <c r="E1201" t="inlineStr">
        <is>
          <t>PK-02</t>
        </is>
      </c>
      <c r="F1201" t="n">
        <v>480</v>
      </c>
      <c r="G1201" t="n">
        <v>5</v>
      </c>
      <c r="H1201" t="inlineStr">
        <is>
          <t>라벨 교체</t>
        </is>
      </c>
      <c r="I1201" t="n">
        <v>4.8</v>
      </c>
      <c r="J1201" t="n">
        <v>5617</v>
      </c>
      <c r="K1201" t="n">
        <v>5598</v>
      </c>
      <c r="L1201" t="inlineStr">
        <is>
          <t>L-0809</t>
        </is>
      </c>
      <c r="M1201">
        <f>F1201-G1201</f>
        <v/>
      </c>
      <c r="N1201" s="2">
        <f>M1201/F1201</f>
        <v/>
      </c>
      <c r="O1201" s="2">
        <f>I1201*J1201/60/M1201</f>
        <v/>
      </c>
      <c r="P1201" s="2">
        <f>K1201/J1201</f>
        <v/>
      </c>
      <c r="Q1201" s="2">
        <f>N1201*O1201*P1201</f>
        <v/>
      </c>
    </row>
    <row r="1202">
      <c r="A1202" t="inlineStr">
        <is>
          <t>2026-08-20</t>
        </is>
      </c>
      <c r="B1202" t="inlineStr">
        <is>
          <t>주간</t>
        </is>
      </c>
      <c r="C1202" t="inlineStr">
        <is>
          <t>P1</t>
        </is>
      </c>
      <c r="D1202" t="inlineStr">
        <is>
          <t>원료혼합</t>
        </is>
      </c>
      <c r="E1202" t="inlineStr">
        <is>
          <t>MX-01</t>
        </is>
      </c>
      <c r="F1202" t="n">
        <v>480</v>
      </c>
      <c r="G1202" t="n">
        <v>32</v>
      </c>
      <c r="H1202" t="inlineStr">
        <is>
          <t>원료 대기</t>
        </is>
      </c>
      <c r="I1202" t="n">
        <v>5</v>
      </c>
      <c r="J1202" t="n">
        <v>5045</v>
      </c>
      <c r="K1202" t="n">
        <v>5012</v>
      </c>
      <c r="L1202" t="inlineStr">
        <is>
          <t>L-0809</t>
        </is>
      </c>
      <c r="M1202">
        <f>F1202-G1202</f>
        <v/>
      </c>
      <c r="N1202" s="2">
        <f>M1202/F1202</f>
        <v/>
      </c>
      <c r="O1202" s="2">
        <f>I1202*J1202/60/M1202</f>
        <v/>
      </c>
      <c r="P1202" s="2">
        <f>K1202/J1202</f>
        <v/>
      </c>
      <c r="Q1202" s="2">
        <f>N1202*O1202*P1202</f>
        <v/>
      </c>
    </row>
    <row r="1203">
      <c r="A1203" t="inlineStr">
        <is>
          <t>2026-08-20</t>
        </is>
      </c>
      <c r="B1203" t="inlineStr">
        <is>
          <t>주간</t>
        </is>
      </c>
      <c r="C1203" t="inlineStr">
        <is>
          <t>P1</t>
        </is>
      </c>
      <c r="D1203" t="inlineStr">
        <is>
          <t>원료혼합</t>
        </is>
      </c>
      <c r="E1203" t="inlineStr">
        <is>
          <t>MX-02</t>
        </is>
      </c>
      <c r="F1203" t="n">
        <v>480</v>
      </c>
      <c r="G1203" t="n">
        <v>26</v>
      </c>
      <c r="H1203" t="inlineStr">
        <is>
          <t>배합 확인</t>
        </is>
      </c>
      <c r="I1203" t="n">
        <v>5</v>
      </c>
      <c r="J1203" t="n">
        <v>5099</v>
      </c>
      <c r="K1203" t="n">
        <v>5063</v>
      </c>
      <c r="L1203" t="inlineStr">
        <is>
          <t>L-0809</t>
        </is>
      </c>
      <c r="M1203">
        <f>F1203-G1203</f>
        <v/>
      </c>
      <c r="N1203" s="2">
        <f>M1203/F1203</f>
        <v/>
      </c>
      <c r="O1203" s="2">
        <f>I1203*J1203/60/M1203</f>
        <v/>
      </c>
      <c r="P1203" s="2">
        <f>K1203/J1203</f>
        <v/>
      </c>
      <c r="Q1203" s="2">
        <f>N1203*O1203*P1203</f>
        <v/>
      </c>
    </row>
    <row r="1204">
      <c r="A1204" t="inlineStr">
        <is>
          <t>2026-08-20</t>
        </is>
      </c>
      <c r="B1204" t="inlineStr">
        <is>
          <t>주간</t>
        </is>
      </c>
      <c r="C1204" t="inlineStr">
        <is>
          <t>P2</t>
        </is>
      </c>
      <c r="D1204" t="inlineStr">
        <is>
          <t>성형</t>
        </is>
      </c>
      <c r="E1204" t="inlineStr">
        <is>
          <t>PR-01</t>
        </is>
      </c>
      <c r="F1204" t="n">
        <v>480</v>
      </c>
      <c r="G1204" t="n">
        <v>23</v>
      </c>
      <c r="H1204" t="inlineStr">
        <is>
          <t>분말 공급 지연</t>
        </is>
      </c>
      <c r="I1204" t="n">
        <v>6</v>
      </c>
      <c r="J1204" t="n">
        <v>4295</v>
      </c>
      <c r="K1204" t="n">
        <v>4255</v>
      </c>
      <c r="L1204" t="inlineStr">
        <is>
          <t>L-0809</t>
        </is>
      </c>
      <c r="M1204">
        <f>F1204-G1204</f>
        <v/>
      </c>
      <c r="N1204" s="2">
        <f>M1204/F1204</f>
        <v/>
      </c>
      <c r="O1204" s="2">
        <f>I1204*J1204/60/M1204</f>
        <v/>
      </c>
      <c r="P1204" s="2">
        <f>K1204/J1204</f>
        <v/>
      </c>
      <c r="Q1204" s="2">
        <f>N1204*O1204*P1204</f>
        <v/>
      </c>
    </row>
    <row r="1205">
      <c r="A1205" t="inlineStr">
        <is>
          <t>2026-08-20</t>
        </is>
      </c>
      <c r="B1205" t="inlineStr">
        <is>
          <t>주간</t>
        </is>
      </c>
      <c r="C1205" t="inlineStr">
        <is>
          <t>P2</t>
        </is>
      </c>
      <c r="D1205" t="inlineStr">
        <is>
          <t>성형</t>
        </is>
      </c>
      <c r="E1205" t="inlineStr">
        <is>
          <t>PR-02</t>
        </is>
      </c>
      <c r="F1205" t="n">
        <v>480</v>
      </c>
      <c r="G1205" t="n">
        <v>21</v>
      </c>
      <c r="H1205" t="inlineStr">
        <is>
          <t>압력 이상</t>
        </is>
      </c>
      <c r="I1205" t="n">
        <v>6</v>
      </c>
      <c r="J1205" t="n">
        <v>4114</v>
      </c>
      <c r="K1205" t="n">
        <v>4081</v>
      </c>
      <c r="L1205" t="inlineStr">
        <is>
          <t>L-0809</t>
        </is>
      </c>
      <c r="M1205">
        <f>F1205-G1205</f>
        <v/>
      </c>
      <c r="N1205" s="2">
        <f>M1205/F1205</f>
        <v/>
      </c>
      <c r="O1205" s="2">
        <f>I1205*J1205/60/M1205</f>
        <v/>
      </c>
      <c r="P1205" s="2">
        <f>K1205/J1205</f>
        <v/>
      </c>
      <c r="Q1205" s="2">
        <f>N1205*O1205*P1205</f>
        <v/>
      </c>
    </row>
    <row r="1206">
      <c r="A1206" t="inlineStr">
        <is>
          <t>2026-08-20</t>
        </is>
      </c>
      <c r="B1206" t="inlineStr">
        <is>
          <t>주간</t>
        </is>
      </c>
      <c r="C1206" t="inlineStr">
        <is>
          <t>P3</t>
        </is>
      </c>
      <c r="D1206" t="inlineStr">
        <is>
          <t>소결</t>
        </is>
      </c>
      <c r="E1206" t="inlineStr">
        <is>
          <t>SF-01</t>
        </is>
      </c>
      <c r="F1206" t="n">
        <v>480</v>
      </c>
      <c r="G1206" t="n">
        <v>37</v>
      </c>
      <c r="H1206" t="inlineStr">
        <is>
          <t>재가열</t>
        </is>
      </c>
      <c r="I1206" t="n">
        <v>6.5</v>
      </c>
      <c r="J1206" t="n">
        <v>3747</v>
      </c>
      <c r="K1206" t="n">
        <v>3670</v>
      </c>
      <c r="L1206" t="inlineStr">
        <is>
          <t>L-0809</t>
        </is>
      </c>
      <c r="M1206">
        <f>F1206-G1206</f>
        <v/>
      </c>
      <c r="N1206" s="2">
        <f>M1206/F1206</f>
        <v/>
      </c>
      <c r="O1206" s="2">
        <f>I1206*J1206/60/M1206</f>
        <v/>
      </c>
      <c r="P1206" s="2">
        <f>K1206/J1206</f>
        <v/>
      </c>
      <c r="Q1206" s="2">
        <f>N1206*O1206*P1206</f>
        <v/>
      </c>
    </row>
    <row r="1207">
      <c r="A1207" t="inlineStr">
        <is>
          <t>2026-08-20</t>
        </is>
      </c>
      <c r="B1207" t="inlineStr">
        <is>
          <t>주간</t>
        </is>
      </c>
      <c r="C1207" t="inlineStr">
        <is>
          <t>P3</t>
        </is>
      </c>
      <c r="D1207" t="inlineStr">
        <is>
          <t>소결</t>
        </is>
      </c>
      <c r="E1207" t="inlineStr">
        <is>
          <t>SF-02</t>
        </is>
      </c>
      <c r="F1207" t="n">
        <v>480</v>
      </c>
      <c r="G1207" t="n">
        <v>101</v>
      </c>
      <c r="H1207" t="inlineStr">
        <is>
          <t>재가열</t>
        </is>
      </c>
      <c r="I1207" t="n">
        <v>6.5</v>
      </c>
      <c r="J1207" t="n">
        <v>3009</v>
      </c>
      <c r="K1207" t="n">
        <v>2791</v>
      </c>
      <c r="L1207" t="inlineStr">
        <is>
          <t>L-0809</t>
        </is>
      </c>
      <c r="M1207">
        <f>F1207-G1207</f>
        <v/>
      </c>
      <c r="N1207" s="2">
        <f>M1207/F1207</f>
        <v/>
      </c>
      <c r="O1207" s="2">
        <f>I1207*J1207/60/M1207</f>
        <v/>
      </c>
      <c r="P1207" s="2">
        <f>K1207/J1207</f>
        <v/>
      </c>
      <c r="Q1207" s="2">
        <f>N1207*O1207*P1207</f>
        <v/>
      </c>
    </row>
    <row r="1208">
      <c r="A1208" t="inlineStr">
        <is>
          <t>2026-08-20</t>
        </is>
      </c>
      <c r="B1208" t="inlineStr">
        <is>
          <t>주간</t>
        </is>
      </c>
      <c r="C1208" t="inlineStr">
        <is>
          <t>P4</t>
        </is>
      </c>
      <c r="D1208" t="inlineStr">
        <is>
          <t>연삭</t>
        </is>
      </c>
      <c r="E1208" t="inlineStr">
        <is>
          <t>GR-01</t>
        </is>
      </c>
      <c r="F1208" t="n">
        <v>480</v>
      </c>
      <c r="G1208" t="n">
        <v>71</v>
      </c>
      <c r="H1208" t="inlineStr">
        <is>
          <t>공구 교체</t>
        </is>
      </c>
      <c r="I1208" t="n">
        <v>6.2</v>
      </c>
      <c r="J1208" t="n">
        <v>3624</v>
      </c>
      <c r="K1208" t="n">
        <v>3589</v>
      </c>
      <c r="L1208" t="inlineStr">
        <is>
          <t>L-0809</t>
        </is>
      </c>
      <c r="M1208">
        <f>F1208-G1208</f>
        <v/>
      </c>
      <c r="N1208" s="2">
        <f>M1208/F1208</f>
        <v/>
      </c>
      <c r="O1208" s="2">
        <f>I1208*J1208/60/M1208</f>
        <v/>
      </c>
      <c r="P1208" s="2">
        <f>K1208/J1208</f>
        <v/>
      </c>
      <c r="Q1208" s="2">
        <f>N1208*O1208*P1208</f>
        <v/>
      </c>
    </row>
    <row r="1209">
      <c r="A1209" t="inlineStr">
        <is>
          <t>2026-08-20</t>
        </is>
      </c>
      <c r="B1209" t="inlineStr">
        <is>
          <t>주간</t>
        </is>
      </c>
      <c r="C1209" t="inlineStr">
        <is>
          <t>P4</t>
        </is>
      </c>
      <c r="D1209" t="inlineStr">
        <is>
          <t>연삭</t>
        </is>
      </c>
      <c r="E1209" t="inlineStr">
        <is>
          <t>GR-02</t>
        </is>
      </c>
      <c r="F1209" t="n">
        <v>480</v>
      </c>
      <c r="G1209" t="n">
        <v>91</v>
      </c>
      <c r="H1209" t="inlineStr">
        <is>
          <t>공구 교체</t>
        </is>
      </c>
      <c r="I1209" t="n">
        <v>6.2</v>
      </c>
      <c r="J1209" t="n">
        <v>3326</v>
      </c>
      <c r="K1209" t="n">
        <v>3292</v>
      </c>
      <c r="L1209" t="inlineStr">
        <is>
          <t>L-0809</t>
        </is>
      </c>
      <c r="M1209">
        <f>F1209-G1209</f>
        <v/>
      </c>
      <c r="N1209" s="2">
        <f>M1209/F1209</f>
        <v/>
      </c>
      <c r="O1209" s="2">
        <f>I1209*J1209/60/M1209</f>
        <v/>
      </c>
      <c r="P1209" s="2">
        <f>K1209/J1209</f>
        <v/>
      </c>
      <c r="Q1209" s="2">
        <f>N1209*O1209*P1209</f>
        <v/>
      </c>
    </row>
    <row r="1210">
      <c r="A1210" t="inlineStr">
        <is>
          <t>2026-08-20</t>
        </is>
      </c>
      <c r="B1210" t="inlineStr">
        <is>
          <t>주간</t>
        </is>
      </c>
      <c r="C1210" t="inlineStr">
        <is>
          <t>P5</t>
        </is>
      </c>
      <c r="D1210" t="inlineStr">
        <is>
          <t>검사</t>
        </is>
      </c>
      <c r="E1210" t="inlineStr">
        <is>
          <t>IN-01</t>
        </is>
      </c>
      <c r="F1210" t="n">
        <v>480</v>
      </c>
      <c r="G1210" t="n">
        <v>10</v>
      </c>
      <c r="H1210" t="inlineStr">
        <is>
          <t>샘플 재검</t>
        </is>
      </c>
      <c r="I1210" t="n">
        <v>5.5</v>
      </c>
      <c r="J1210" t="n">
        <v>4841</v>
      </c>
      <c r="K1210" t="n">
        <v>4828</v>
      </c>
      <c r="L1210" t="inlineStr">
        <is>
          <t>L-0809</t>
        </is>
      </c>
      <c r="M1210">
        <f>F1210-G1210</f>
        <v/>
      </c>
      <c r="N1210" s="2">
        <f>M1210/F1210</f>
        <v/>
      </c>
      <c r="O1210" s="2">
        <f>I1210*J1210/60/M1210</f>
        <v/>
      </c>
      <c r="P1210" s="2">
        <f>K1210/J1210</f>
        <v/>
      </c>
      <c r="Q1210" s="2">
        <f>N1210*O1210*P1210</f>
        <v/>
      </c>
    </row>
    <row r="1211">
      <c r="A1211" t="inlineStr">
        <is>
          <t>2026-08-20</t>
        </is>
      </c>
      <c r="B1211" t="inlineStr">
        <is>
          <t>주간</t>
        </is>
      </c>
      <c r="C1211" t="inlineStr">
        <is>
          <t>P5</t>
        </is>
      </c>
      <c r="D1211" t="inlineStr">
        <is>
          <t>검사</t>
        </is>
      </c>
      <c r="E1211" t="inlineStr">
        <is>
          <t>IN-02</t>
        </is>
      </c>
      <c r="F1211" t="n">
        <v>480</v>
      </c>
      <c r="G1211" t="n">
        <v>11</v>
      </c>
      <c r="H1211" t="inlineStr">
        <is>
          <t>샘플 재검</t>
        </is>
      </c>
      <c r="I1211" t="n">
        <v>5.5</v>
      </c>
      <c r="J1211" t="n">
        <v>4532</v>
      </c>
      <c r="K1211" t="n">
        <v>4517</v>
      </c>
      <c r="L1211" t="inlineStr">
        <is>
          <t>L-0809</t>
        </is>
      </c>
      <c r="M1211">
        <f>F1211-G1211</f>
        <v/>
      </c>
      <c r="N1211" s="2">
        <f>M1211/F1211</f>
        <v/>
      </c>
      <c r="O1211" s="2">
        <f>I1211*J1211/60/M1211</f>
        <v/>
      </c>
      <c r="P1211" s="2">
        <f>K1211/J1211</f>
        <v/>
      </c>
      <c r="Q1211" s="2">
        <f>N1211*O1211*P1211</f>
        <v/>
      </c>
    </row>
    <row r="1212">
      <c r="A1212" t="inlineStr">
        <is>
          <t>2026-08-20</t>
        </is>
      </c>
      <c r="B1212" t="inlineStr">
        <is>
          <t>주간</t>
        </is>
      </c>
      <c r="C1212" t="inlineStr">
        <is>
          <t>P6</t>
        </is>
      </c>
      <c r="D1212" t="inlineStr">
        <is>
          <t>포장</t>
        </is>
      </c>
      <c r="E1212" t="inlineStr">
        <is>
          <t>PK-01</t>
        </is>
      </c>
      <c r="F1212" t="n">
        <v>480</v>
      </c>
      <c r="G1212" t="n">
        <v>43</v>
      </c>
      <c r="H1212" t="inlineStr">
        <is>
          <t>라벨 교체</t>
        </is>
      </c>
      <c r="I1212" t="n">
        <v>4.8</v>
      </c>
      <c r="J1212" t="n">
        <v>4938</v>
      </c>
      <c r="K1212" t="n">
        <v>4928</v>
      </c>
      <c r="L1212" t="inlineStr">
        <is>
          <t>L-0809</t>
        </is>
      </c>
      <c r="M1212">
        <f>F1212-G1212</f>
        <v/>
      </c>
      <c r="N1212" s="2">
        <f>M1212/F1212</f>
        <v/>
      </c>
      <c r="O1212" s="2">
        <f>I1212*J1212/60/M1212</f>
        <v/>
      </c>
      <c r="P1212" s="2">
        <f>K1212/J1212</f>
        <v/>
      </c>
      <c r="Q1212" s="2">
        <f>N1212*O1212*P1212</f>
        <v/>
      </c>
    </row>
    <row r="1213">
      <c r="A1213" t="inlineStr">
        <is>
          <t>2026-08-20</t>
        </is>
      </c>
      <c r="B1213" t="inlineStr">
        <is>
          <t>주간</t>
        </is>
      </c>
      <c r="C1213" t="inlineStr">
        <is>
          <t>P6</t>
        </is>
      </c>
      <c r="D1213" t="inlineStr">
        <is>
          <t>포장</t>
        </is>
      </c>
      <c r="E1213" t="inlineStr">
        <is>
          <t>PK-02</t>
        </is>
      </c>
      <c r="F1213" t="n">
        <v>480</v>
      </c>
      <c r="G1213" t="n">
        <v>7</v>
      </c>
      <c r="H1213" t="inlineStr">
        <is>
          <t>자재 대기</t>
        </is>
      </c>
      <c r="I1213" t="n">
        <v>4.8</v>
      </c>
      <c r="J1213" t="n">
        <v>5276</v>
      </c>
      <c r="K1213" t="n">
        <v>5265</v>
      </c>
      <c r="L1213" t="inlineStr">
        <is>
          <t>L-0809</t>
        </is>
      </c>
      <c r="M1213">
        <f>F1213-G1213</f>
        <v/>
      </c>
      <c r="N1213" s="2">
        <f>M1213/F1213</f>
        <v/>
      </c>
      <c r="O1213" s="2">
        <f>I1213*J1213/60/M1213</f>
        <v/>
      </c>
      <c r="P1213" s="2">
        <f>K1213/J1213</f>
        <v/>
      </c>
      <c r="Q1213" s="2">
        <f>N1213*O1213*P1213</f>
        <v/>
      </c>
    </row>
    <row r="1214">
      <c r="A1214" t="inlineStr">
        <is>
          <t>2026-08-20</t>
        </is>
      </c>
      <c r="B1214" t="inlineStr">
        <is>
          <t>야간</t>
        </is>
      </c>
      <c r="C1214" t="inlineStr">
        <is>
          <t>P1</t>
        </is>
      </c>
      <c r="D1214" t="inlineStr">
        <is>
          <t>원료혼합</t>
        </is>
      </c>
      <c r="E1214" t="inlineStr">
        <is>
          <t>MX-01</t>
        </is>
      </c>
      <c r="F1214" t="n">
        <v>480</v>
      </c>
      <c r="G1214" t="n">
        <v>4</v>
      </c>
      <c r="H1214" t="inlineStr">
        <is>
          <t>배합 확인</t>
        </is>
      </c>
      <c r="I1214" t="n">
        <v>5</v>
      </c>
      <c r="J1214" t="n">
        <v>5504</v>
      </c>
      <c r="K1214" t="n">
        <v>5459</v>
      </c>
      <c r="L1214" t="inlineStr">
        <is>
          <t>L-0809</t>
        </is>
      </c>
      <c r="M1214">
        <f>F1214-G1214</f>
        <v/>
      </c>
      <c r="N1214" s="2">
        <f>M1214/F1214</f>
        <v/>
      </c>
      <c r="O1214" s="2">
        <f>I1214*J1214/60/M1214</f>
        <v/>
      </c>
      <c r="P1214" s="2">
        <f>K1214/J1214</f>
        <v/>
      </c>
      <c r="Q1214" s="2">
        <f>N1214*O1214*P1214</f>
        <v/>
      </c>
    </row>
    <row r="1215">
      <c r="A1215" t="inlineStr">
        <is>
          <t>2026-08-20</t>
        </is>
      </c>
      <c r="B1215" t="inlineStr">
        <is>
          <t>야간</t>
        </is>
      </c>
      <c r="C1215" t="inlineStr">
        <is>
          <t>P1</t>
        </is>
      </c>
      <c r="D1215" t="inlineStr">
        <is>
          <t>원료혼합</t>
        </is>
      </c>
      <c r="E1215" t="inlineStr">
        <is>
          <t>MX-02</t>
        </is>
      </c>
      <c r="F1215" t="n">
        <v>480</v>
      </c>
      <c r="G1215" t="n">
        <v>8</v>
      </c>
      <c r="H1215" t="inlineStr">
        <is>
          <t>원료 대기</t>
        </is>
      </c>
      <c r="I1215" t="n">
        <v>5</v>
      </c>
      <c r="J1215" t="n">
        <v>5309</v>
      </c>
      <c r="K1215" t="n">
        <v>5274</v>
      </c>
      <c r="L1215" t="inlineStr">
        <is>
          <t>L-0809</t>
        </is>
      </c>
      <c r="M1215">
        <f>F1215-G1215</f>
        <v/>
      </c>
      <c r="N1215" s="2">
        <f>M1215/F1215</f>
        <v/>
      </c>
      <c r="O1215" s="2">
        <f>I1215*J1215/60/M1215</f>
        <v/>
      </c>
      <c r="P1215" s="2">
        <f>K1215/J1215</f>
        <v/>
      </c>
      <c r="Q1215" s="2">
        <f>N1215*O1215*P1215</f>
        <v/>
      </c>
    </row>
    <row r="1216">
      <c r="A1216" t="inlineStr">
        <is>
          <t>2026-08-20</t>
        </is>
      </c>
      <c r="B1216" t="inlineStr">
        <is>
          <t>야간</t>
        </is>
      </c>
      <c r="C1216" t="inlineStr">
        <is>
          <t>P2</t>
        </is>
      </c>
      <c r="D1216" t="inlineStr">
        <is>
          <t>성형</t>
        </is>
      </c>
      <c r="E1216" t="inlineStr">
        <is>
          <t>PR-01</t>
        </is>
      </c>
      <c r="F1216" t="n">
        <v>480</v>
      </c>
      <c r="G1216" t="n">
        <v>30</v>
      </c>
      <c r="H1216" t="inlineStr">
        <is>
          <t>압력 이상</t>
        </is>
      </c>
      <c r="I1216" t="n">
        <v>6</v>
      </c>
      <c r="J1216" t="n">
        <v>4115</v>
      </c>
      <c r="K1216" t="n">
        <v>4084</v>
      </c>
      <c r="L1216" t="inlineStr">
        <is>
          <t>L-0809</t>
        </is>
      </c>
      <c r="M1216">
        <f>F1216-G1216</f>
        <v/>
      </c>
      <c r="N1216" s="2">
        <f>M1216/F1216</f>
        <v/>
      </c>
      <c r="O1216" s="2">
        <f>I1216*J1216/60/M1216</f>
        <v/>
      </c>
      <c r="P1216" s="2">
        <f>K1216/J1216</f>
        <v/>
      </c>
      <c r="Q1216" s="2">
        <f>N1216*O1216*P1216</f>
        <v/>
      </c>
    </row>
    <row r="1217">
      <c r="A1217" t="inlineStr">
        <is>
          <t>2026-08-20</t>
        </is>
      </c>
      <c r="B1217" t="inlineStr">
        <is>
          <t>야간</t>
        </is>
      </c>
      <c r="C1217" t="inlineStr">
        <is>
          <t>P2</t>
        </is>
      </c>
      <c r="D1217" t="inlineStr">
        <is>
          <t>성형</t>
        </is>
      </c>
      <c r="E1217" t="inlineStr">
        <is>
          <t>PR-02</t>
        </is>
      </c>
      <c r="F1217" t="n">
        <v>480</v>
      </c>
      <c r="G1217" t="n">
        <v>36</v>
      </c>
      <c r="H1217" t="inlineStr">
        <is>
          <t>압력 이상</t>
        </is>
      </c>
      <c r="I1217" t="n">
        <v>6</v>
      </c>
      <c r="J1217" t="n">
        <v>4262</v>
      </c>
      <c r="K1217" t="n">
        <v>4218</v>
      </c>
      <c r="L1217" t="inlineStr">
        <is>
          <t>L-0809</t>
        </is>
      </c>
      <c r="M1217">
        <f>F1217-G1217</f>
        <v/>
      </c>
      <c r="N1217" s="2">
        <f>M1217/F1217</f>
        <v/>
      </c>
      <c r="O1217" s="2">
        <f>I1217*J1217/60/M1217</f>
        <v/>
      </c>
      <c r="P1217" s="2">
        <f>K1217/J1217</f>
        <v/>
      </c>
      <c r="Q1217" s="2">
        <f>N1217*O1217*P1217</f>
        <v/>
      </c>
    </row>
    <row r="1218">
      <c r="A1218" t="inlineStr">
        <is>
          <t>2026-08-20</t>
        </is>
      </c>
      <c r="B1218" t="inlineStr">
        <is>
          <t>야간</t>
        </is>
      </c>
      <c r="C1218" t="inlineStr">
        <is>
          <t>P3</t>
        </is>
      </c>
      <c r="D1218" t="inlineStr">
        <is>
          <t>소결</t>
        </is>
      </c>
      <c r="E1218" t="inlineStr">
        <is>
          <t>SF-01</t>
        </is>
      </c>
      <c r="F1218" t="n">
        <v>480</v>
      </c>
      <c r="G1218" t="n">
        <v>36</v>
      </c>
      <c r="H1218" t="inlineStr">
        <is>
          <t>재가열</t>
        </is>
      </c>
      <c r="I1218" t="n">
        <v>6.5</v>
      </c>
      <c r="J1218" t="n">
        <v>3912</v>
      </c>
      <c r="K1218" t="n">
        <v>3798</v>
      </c>
      <c r="L1218" t="inlineStr">
        <is>
          <t>L-0809</t>
        </is>
      </c>
      <c r="M1218">
        <f>F1218-G1218</f>
        <v/>
      </c>
      <c r="N1218" s="2">
        <f>M1218/F1218</f>
        <v/>
      </c>
      <c r="O1218" s="2">
        <f>I1218*J1218/60/M1218</f>
        <v/>
      </c>
      <c r="P1218" s="2">
        <f>K1218/J1218</f>
        <v/>
      </c>
      <c r="Q1218" s="2">
        <f>N1218*O1218*P1218</f>
        <v/>
      </c>
    </row>
    <row r="1219">
      <c r="A1219" t="inlineStr">
        <is>
          <t>2026-08-20</t>
        </is>
      </c>
      <c r="B1219" t="inlineStr">
        <is>
          <t>야간</t>
        </is>
      </c>
      <c r="C1219" t="inlineStr">
        <is>
          <t>P3</t>
        </is>
      </c>
      <c r="D1219" t="inlineStr">
        <is>
          <t>소결</t>
        </is>
      </c>
      <c r="E1219" t="inlineStr">
        <is>
          <t>SF-02</t>
        </is>
      </c>
      <c r="F1219" t="n">
        <v>480</v>
      </c>
      <c r="G1219" t="n">
        <v>111</v>
      </c>
      <c r="H1219" t="inlineStr">
        <is>
          <t>재가열</t>
        </is>
      </c>
      <c r="I1219" t="n">
        <v>6.5</v>
      </c>
      <c r="J1219" t="n">
        <v>3007</v>
      </c>
      <c r="K1219" t="n">
        <v>2816</v>
      </c>
      <c r="L1219" t="inlineStr">
        <is>
          <t>L-0809</t>
        </is>
      </c>
      <c r="M1219">
        <f>F1219-G1219</f>
        <v/>
      </c>
      <c r="N1219" s="2">
        <f>M1219/F1219</f>
        <v/>
      </c>
      <c r="O1219" s="2">
        <f>I1219*J1219/60/M1219</f>
        <v/>
      </c>
      <c r="P1219" s="2">
        <f>K1219/J1219</f>
        <v/>
      </c>
      <c r="Q1219" s="2">
        <f>N1219*O1219*P1219</f>
        <v/>
      </c>
    </row>
    <row r="1220">
      <c r="A1220" t="inlineStr">
        <is>
          <t>2026-08-20</t>
        </is>
      </c>
      <c r="B1220" t="inlineStr">
        <is>
          <t>야간</t>
        </is>
      </c>
      <c r="C1220" t="inlineStr">
        <is>
          <t>P4</t>
        </is>
      </c>
      <c r="D1220" t="inlineStr">
        <is>
          <t>연삭</t>
        </is>
      </c>
      <c r="E1220" t="inlineStr">
        <is>
          <t>GR-01</t>
        </is>
      </c>
      <c r="F1220" t="n">
        <v>480</v>
      </c>
      <c r="G1220" t="n">
        <v>62</v>
      </c>
      <c r="H1220" t="inlineStr">
        <is>
          <t>공구 교체</t>
        </is>
      </c>
      <c r="I1220" t="n">
        <v>6.2</v>
      </c>
      <c r="J1220" t="n">
        <v>3741</v>
      </c>
      <c r="K1220" t="n">
        <v>3704</v>
      </c>
      <c r="L1220" t="inlineStr">
        <is>
          <t>L-0809</t>
        </is>
      </c>
      <c r="M1220">
        <f>F1220-G1220</f>
        <v/>
      </c>
      <c r="N1220" s="2">
        <f>M1220/F1220</f>
        <v/>
      </c>
      <c r="O1220" s="2">
        <f>I1220*J1220/60/M1220</f>
        <v/>
      </c>
      <c r="P1220" s="2">
        <f>K1220/J1220</f>
        <v/>
      </c>
      <c r="Q1220" s="2">
        <f>N1220*O1220*P1220</f>
        <v/>
      </c>
    </row>
    <row r="1221">
      <c r="A1221" t="inlineStr">
        <is>
          <t>2026-08-20</t>
        </is>
      </c>
      <c r="B1221" t="inlineStr">
        <is>
          <t>야간</t>
        </is>
      </c>
      <c r="C1221" t="inlineStr">
        <is>
          <t>P4</t>
        </is>
      </c>
      <c r="D1221" t="inlineStr">
        <is>
          <t>연삭</t>
        </is>
      </c>
      <c r="E1221" t="inlineStr">
        <is>
          <t>GR-02</t>
        </is>
      </c>
      <c r="F1221" t="n">
        <v>480</v>
      </c>
      <c r="G1221" t="n">
        <v>48</v>
      </c>
      <c r="H1221" t="inlineStr">
        <is>
          <t>공구 교체</t>
        </is>
      </c>
      <c r="I1221" t="n">
        <v>6.2</v>
      </c>
      <c r="J1221" t="n">
        <v>3839</v>
      </c>
      <c r="K1221" t="n">
        <v>3788</v>
      </c>
      <c r="L1221" t="inlineStr">
        <is>
          <t>L-0809</t>
        </is>
      </c>
      <c r="M1221">
        <f>F1221-G1221</f>
        <v/>
      </c>
      <c r="N1221" s="2">
        <f>M1221/F1221</f>
        <v/>
      </c>
      <c r="O1221" s="2">
        <f>I1221*J1221/60/M1221</f>
        <v/>
      </c>
      <c r="P1221" s="2">
        <f>K1221/J1221</f>
        <v/>
      </c>
      <c r="Q1221" s="2">
        <f>N1221*O1221*P1221</f>
        <v/>
      </c>
    </row>
    <row r="1222">
      <c r="A1222" t="inlineStr">
        <is>
          <t>2026-08-20</t>
        </is>
      </c>
      <c r="B1222" t="inlineStr">
        <is>
          <t>야간</t>
        </is>
      </c>
      <c r="C1222" t="inlineStr">
        <is>
          <t>P5</t>
        </is>
      </c>
      <c r="D1222" t="inlineStr">
        <is>
          <t>검사</t>
        </is>
      </c>
      <c r="E1222" t="inlineStr">
        <is>
          <t>IN-01</t>
        </is>
      </c>
      <c r="F1222" t="n">
        <v>480</v>
      </c>
      <c r="G1222" t="n">
        <v>19</v>
      </c>
      <c r="H1222" t="inlineStr">
        <is>
          <t>샘플 재검</t>
        </is>
      </c>
      <c r="I1222" t="n">
        <v>5.5</v>
      </c>
      <c r="J1222" t="n">
        <v>4667</v>
      </c>
      <c r="K1222" t="n">
        <v>4646</v>
      </c>
      <c r="L1222" t="inlineStr">
        <is>
          <t>L-0809</t>
        </is>
      </c>
      <c r="M1222">
        <f>F1222-G1222</f>
        <v/>
      </c>
      <c r="N1222" s="2">
        <f>M1222/F1222</f>
        <v/>
      </c>
      <c r="O1222" s="2">
        <f>I1222*J1222/60/M1222</f>
        <v/>
      </c>
      <c r="P1222" s="2">
        <f>K1222/J1222</f>
        <v/>
      </c>
      <c r="Q1222" s="2">
        <f>N1222*O1222*P1222</f>
        <v/>
      </c>
    </row>
    <row r="1223">
      <c r="A1223" t="inlineStr">
        <is>
          <t>2026-08-20</t>
        </is>
      </c>
      <c r="B1223" t="inlineStr">
        <is>
          <t>야간</t>
        </is>
      </c>
      <c r="C1223" t="inlineStr">
        <is>
          <t>P5</t>
        </is>
      </c>
      <c r="D1223" t="inlineStr">
        <is>
          <t>검사</t>
        </is>
      </c>
      <c r="E1223" t="inlineStr">
        <is>
          <t>IN-02</t>
        </is>
      </c>
      <c r="F1223" t="n">
        <v>480</v>
      </c>
      <c r="G1223" t="n">
        <v>10</v>
      </c>
      <c r="H1223" t="inlineStr">
        <is>
          <t>샘플 재검</t>
        </is>
      </c>
      <c r="I1223" t="n">
        <v>5.5</v>
      </c>
      <c r="J1223" t="n">
        <v>4648</v>
      </c>
      <c r="K1223" t="n">
        <v>4629</v>
      </c>
      <c r="L1223" t="inlineStr">
        <is>
          <t>L-0809</t>
        </is>
      </c>
      <c r="M1223">
        <f>F1223-G1223</f>
        <v/>
      </c>
      <c r="N1223" s="2">
        <f>M1223/F1223</f>
        <v/>
      </c>
      <c r="O1223" s="2">
        <f>I1223*J1223/60/M1223</f>
        <v/>
      </c>
      <c r="P1223" s="2">
        <f>K1223/J1223</f>
        <v/>
      </c>
      <c r="Q1223" s="2">
        <f>N1223*O1223*P1223</f>
        <v/>
      </c>
    </row>
    <row r="1224">
      <c r="A1224" t="inlineStr">
        <is>
          <t>2026-08-20</t>
        </is>
      </c>
      <c r="B1224" t="inlineStr">
        <is>
          <t>야간</t>
        </is>
      </c>
      <c r="C1224" t="inlineStr">
        <is>
          <t>P6</t>
        </is>
      </c>
      <c r="D1224" t="inlineStr">
        <is>
          <t>포장</t>
        </is>
      </c>
      <c r="E1224" t="inlineStr">
        <is>
          <t>PK-01</t>
        </is>
      </c>
      <c r="F1224" t="n">
        <v>480</v>
      </c>
      <c r="G1224" t="n">
        <v>8</v>
      </c>
      <c r="H1224" t="inlineStr">
        <is>
          <t>라벨 교체</t>
        </is>
      </c>
      <c r="I1224" t="n">
        <v>4.8</v>
      </c>
      <c r="J1224" t="n">
        <v>5484</v>
      </c>
      <c r="K1224" t="n">
        <v>5468</v>
      </c>
      <c r="L1224" t="inlineStr">
        <is>
          <t>L-0809</t>
        </is>
      </c>
      <c r="M1224">
        <f>F1224-G1224</f>
        <v/>
      </c>
      <c r="N1224" s="2">
        <f>M1224/F1224</f>
        <v/>
      </c>
      <c r="O1224" s="2">
        <f>I1224*J1224/60/M1224</f>
        <v/>
      </c>
      <c r="P1224" s="2">
        <f>K1224/J1224</f>
        <v/>
      </c>
      <c r="Q1224" s="2">
        <f>N1224*O1224*P1224</f>
        <v/>
      </c>
    </row>
    <row r="1225">
      <c r="A1225" t="inlineStr">
        <is>
          <t>2026-08-20</t>
        </is>
      </c>
      <c r="B1225" t="inlineStr">
        <is>
          <t>야간</t>
        </is>
      </c>
      <c r="C1225" t="inlineStr">
        <is>
          <t>P6</t>
        </is>
      </c>
      <c r="D1225" t="inlineStr">
        <is>
          <t>포장</t>
        </is>
      </c>
      <c r="E1225" t="inlineStr">
        <is>
          <t>PK-02</t>
        </is>
      </c>
      <c r="F1225" t="n">
        <v>480</v>
      </c>
      <c r="G1225" t="n">
        <v>14</v>
      </c>
      <c r="H1225" t="inlineStr">
        <is>
          <t>자재 대기</t>
        </is>
      </c>
      <c r="I1225" t="n">
        <v>4.8</v>
      </c>
      <c r="J1225" t="n">
        <v>5574</v>
      </c>
      <c r="K1225" t="n">
        <v>5557</v>
      </c>
      <c r="L1225" t="inlineStr">
        <is>
          <t>L-0809</t>
        </is>
      </c>
      <c r="M1225">
        <f>F1225-G1225</f>
        <v/>
      </c>
      <c r="N1225" s="2">
        <f>M1225/F1225</f>
        <v/>
      </c>
      <c r="O1225" s="2">
        <f>I1225*J1225/60/M1225</f>
        <v/>
      </c>
      <c r="P1225" s="2">
        <f>K1225/J1225</f>
        <v/>
      </c>
      <c r="Q1225" s="2">
        <f>N1225*O1225*P1225</f>
        <v/>
      </c>
    </row>
    <row r="1226">
      <c r="A1226" t="inlineStr">
        <is>
          <t>2026-08-21</t>
        </is>
      </c>
      <c r="B1226" t="inlineStr">
        <is>
          <t>주간</t>
        </is>
      </c>
      <c r="C1226" t="inlineStr">
        <is>
          <t>P1</t>
        </is>
      </c>
      <c r="D1226" t="inlineStr">
        <is>
          <t>원료혼합</t>
        </is>
      </c>
      <c r="E1226" t="inlineStr">
        <is>
          <t>MX-01</t>
        </is>
      </c>
      <c r="F1226" t="n">
        <v>480</v>
      </c>
      <c r="G1226" t="n">
        <v>10</v>
      </c>
      <c r="H1226" t="inlineStr">
        <is>
          <t>청소</t>
        </is>
      </c>
      <c r="I1226" t="n">
        <v>5</v>
      </c>
      <c r="J1226" t="n">
        <v>5145</v>
      </c>
      <c r="K1226" t="n">
        <v>5122</v>
      </c>
      <c r="L1226" t="inlineStr">
        <is>
          <t>L-0821</t>
        </is>
      </c>
      <c r="M1226">
        <f>F1226-G1226</f>
        <v/>
      </c>
      <c r="N1226" s="2">
        <f>M1226/F1226</f>
        <v/>
      </c>
      <c r="O1226" s="2">
        <f>I1226*J1226/60/M1226</f>
        <v/>
      </c>
      <c r="P1226" s="2">
        <f>K1226/J1226</f>
        <v/>
      </c>
      <c r="Q1226" s="2">
        <f>N1226*O1226*P1226</f>
        <v/>
      </c>
    </row>
    <row r="1227">
      <c r="A1227" t="inlineStr">
        <is>
          <t>2026-08-21</t>
        </is>
      </c>
      <c r="B1227" t="inlineStr">
        <is>
          <t>주간</t>
        </is>
      </c>
      <c r="C1227" t="inlineStr">
        <is>
          <t>P1</t>
        </is>
      </c>
      <c r="D1227" t="inlineStr">
        <is>
          <t>원료혼합</t>
        </is>
      </c>
      <c r="E1227" t="inlineStr">
        <is>
          <t>MX-02</t>
        </is>
      </c>
      <c r="F1227" t="n">
        <v>480</v>
      </c>
      <c r="G1227" t="n">
        <v>9</v>
      </c>
      <c r="H1227" t="inlineStr">
        <is>
          <t>원료 대기</t>
        </is>
      </c>
      <c r="I1227" t="n">
        <v>5</v>
      </c>
      <c r="J1227" t="n">
        <v>5259</v>
      </c>
      <c r="K1227" t="n">
        <v>5231</v>
      </c>
      <c r="L1227" t="inlineStr">
        <is>
          <t>L-0821</t>
        </is>
      </c>
      <c r="M1227">
        <f>F1227-G1227</f>
        <v/>
      </c>
      <c r="N1227" s="2">
        <f>M1227/F1227</f>
        <v/>
      </c>
      <c r="O1227" s="2">
        <f>I1227*J1227/60/M1227</f>
        <v/>
      </c>
      <c r="P1227" s="2">
        <f>K1227/J1227</f>
        <v/>
      </c>
      <c r="Q1227" s="2">
        <f>N1227*O1227*P1227</f>
        <v/>
      </c>
    </row>
    <row r="1228">
      <c r="A1228" t="inlineStr">
        <is>
          <t>2026-08-21</t>
        </is>
      </c>
      <c r="B1228" t="inlineStr">
        <is>
          <t>주간</t>
        </is>
      </c>
      <c r="C1228" t="inlineStr">
        <is>
          <t>P2</t>
        </is>
      </c>
      <c r="D1228" t="inlineStr">
        <is>
          <t>성형</t>
        </is>
      </c>
      <c r="E1228" t="inlineStr">
        <is>
          <t>PR-01</t>
        </is>
      </c>
      <c r="F1228" t="n">
        <v>480</v>
      </c>
      <c r="G1228" t="n">
        <v>27</v>
      </c>
      <c r="H1228" t="inlineStr">
        <is>
          <t>분말 공급 지연</t>
        </is>
      </c>
      <c r="I1228" t="n">
        <v>6</v>
      </c>
      <c r="J1228" t="n">
        <v>4164</v>
      </c>
      <c r="K1228" t="n">
        <v>4084</v>
      </c>
      <c r="L1228" t="inlineStr">
        <is>
          <t>L-0821</t>
        </is>
      </c>
      <c r="M1228">
        <f>F1228-G1228</f>
        <v/>
      </c>
      <c r="N1228" s="2">
        <f>M1228/F1228</f>
        <v/>
      </c>
      <c r="O1228" s="2">
        <f>I1228*J1228/60/M1228</f>
        <v/>
      </c>
      <c r="P1228" s="2">
        <f>K1228/J1228</f>
        <v/>
      </c>
      <c r="Q1228" s="2">
        <f>N1228*O1228*P1228</f>
        <v/>
      </c>
    </row>
    <row r="1229">
      <c r="A1229" t="inlineStr">
        <is>
          <t>2026-08-21</t>
        </is>
      </c>
      <c r="B1229" t="inlineStr">
        <is>
          <t>주간</t>
        </is>
      </c>
      <c r="C1229" t="inlineStr">
        <is>
          <t>P2</t>
        </is>
      </c>
      <c r="D1229" t="inlineStr">
        <is>
          <t>성형</t>
        </is>
      </c>
      <c r="E1229" t="inlineStr">
        <is>
          <t>PR-02</t>
        </is>
      </c>
      <c r="F1229" t="n">
        <v>480</v>
      </c>
      <c r="G1229" t="n">
        <v>43</v>
      </c>
      <c r="H1229" t="inlineStr">
        <is>
          <t>압력 이상</t>
        </is>
      </c>
      <c r="I1229" t="n">
        <v>6</v>
      </c>
      <c r="J1229" t="n">
        <v>4121</v>
      </c>
      <c r="K1229" t="n">
        <v>4031</v>
      </c>
      <c r="L1229" t="inlineStr">
        <is>
          <t>L-0821</t>
        </is>
      </c>
      <c r="M1229">
        <f>F1229-G1229</f>
        <v/>
      </c>
      <c r="N1229" s="2">
        <f>M1229/F1229</f>
        <v/>
      </c>
      <c r="O1229" s="2">
        <f>I1229*J1229/60/M1229</f>
        <v/>
      </c>
      <c r="P1229" s="2">
        <f>K1229/J1229</f>
        <v/>
      </c>
      <c r="Q1229" s="2">
        <f>N1229*O1229*P1229</f>
        <v/>
      </c>
    </row>
    <row r="1230">
      <c r="A1230" t="inlineStr">
        <is>
          <t>2026-08-21</t>
        </is>
      </c>
      <c r="B1230" t="inlineStr">
        <is>
          <t>주간</t>
        </is>
      </c>
      <c r="C1230" t="inlineStr">
        <is>
          <t>P3</t>
        </is>
      </c>
      <c r="D1230" t="inlineStr">
        <is>
          <t>소결</t>
        </is>
      </c>
      <c r="E1230" t="inlineStr">
        <is>
          <t>SF-01</t>
        </is>
      </c>
      <c r="F1230" t="n">
        <v>480</v>
      </c>
      <c r="G1230" t="n">
        <v>40</v>
      </c>
      <c r="H1230" t="inlineStr">
        <is>
          <t>장입 대기</t>
        </is>
      </c>
      <c r="I1230" t="n">
        <v>6.5</v>
      </c>
      <c r="J1230" t="n">
        <v>3912</v>
      </c>
      <c r="K1230" t="n">
        <v>3839</v>
      </c>
      <c r="L1230" t="inlineStr">
        <is>
          <t>L-0821</t>
        </is>
      </c>
      <c r="M1230">
        <f>F1230-G1230</f>
        <v/>
      </c>
      <c r="N1230" s="2">
        <f>M1230/F1230</f>
        <v/>
      </c>
      <c r="O1230" s="2">
        <f>I1230*J1230/60/M1230</f>
        <v/>
      </c>
      <c r="P1230" s="2">
        <f>K1230/J1230</f>
        <v/>
      </c>
      <c r="Q1230" s="2">
        <f>N1230*O1230*P1230</f>
        <v/>
      </c>
    </row>
    <row r="1231">
      <c r="A1231" t="inlineStr">
        <is>
          <t>2026-08-21</t>
        </is>
      </c>
      <c r="B1231" t="inlineStr">
        <is>
          <t>주간</t>
        </is>
      </c>
      <c r="C1231" t="inlineStr">
        <is>
          <t>P3</t>
        </is>
      </c>
      <c r="D1231" t="inlineStr">
        <is>
          <t>소결</t>
        </is>
      </c>
      <c r="E1231" t="inlineStr">
        <is>
          <t>SF-02</t>
        </is>
      </c>
      <c r="F1231" t="n">
        <v>480</v>
      </c>
      <c r="G1231" t="n">
        <v>100</v>
      </c>
      <c r="H1231" t="inlineStr">
        <is>
          <t>재가열</t>
        </is>
      </c>
      <c r="I1231" t="n">
        <v>6.5</v>
      </c>
      <c r="J1231" t="n">
        <v>3088</v>
      </c>
      <c r="K1231" t="n">
        <v>2928</v>
      </c>
      <c r="L1231" t="inlineStr">
        <is>
          <t>L-0821</t>
        </is>
      </c>
      <c r="M1231">
        <f>F1231-G1231</f>
        <v/>
      </c>
      <c r="N1231" s="2">
        <f>M1231/F1231</f>
        <v/>
      </c>
      <c r="O1231" s="2">
        <f>I1231*J1231/60/M1231</f>
        <v/>
      </c>
      <c r="P1231" s="2">
        <f>K1231/J1231</f>
        <v/>
      </c>
      <c r="Q1231" s="2">
        <f>N1231*O1231*P1231</f>
        <v/>
      </c>
    </row>
    <row r="1232">
      <c r="A1232" t="inlineStr">
        <is>
          <t>2026-08-21</t>
        </is>
      </c>
      <c r="B1232" t="inlineStr">
        <is>
          <t>주간</t>
        </is>
      </c>
      <c r="C1232" t="inlineStr">
        <is>
          <t>P4</t>
        </is>
      </c>
      <c r="D1232" t="inlineStr">
        <is>
          <t>연삭</t>
        </is>
      </c>
      <c r="E1232" t="inlineStr">
        <is>
          <t>GR-01</t>
        </is>
      </c>
      <c r="F1232" t="n">
        <v>480</v>
      </c>
      <c r="G1232" t="n">
        <v>51</v>
      </c>
      <c r="H1232" t="inlineStr">
        <is>
          <t>드레싱</t>
        </is>
      </c>
      <c r="I1232" t="n">
        <v>6.2</v>
      </c>
      <c r="J1232" t="n">
        <v>3960</v>
      </c>
      <c r="K1232" t="n">
        <v>3920</v>
      </c>
      <c r="L1232" t="inlineStr">
        <is>
          <t>L-0821</t>
        </is>
      </c>
      <c r="M1232">
        <f>F1232-G1232</f>
        <v/>
      </c>
      <c r="N1232" s="2">
        <f>M1232/F1232</f>
        <v/>
      </c>
      <c r="O1232" s="2">
        <f>I1232*J1232/60/M1232</f>
        <v/>
      </c>
      <c r="P1232" s="2">
        <f>K1232/J1232</f>
        <v/>
      </c>
      <c r="Q1232" s="2">
        <f>N1232*O1232*P1232</f>
        <v/>
      </c>
    </row>
    <row r="1233">
      <c r="A1233" t="inlineStr">
        <is>
          <t>2026-08-21</t>
        </is>
      </c>
      <c r="B1233" t="inlineStr">
        <is>
          <t>주간</t>
        </is>
      </c>
      <c r="C1233" t="inlineStr">
        <is>
          <t>P4</t>
        </is>
      </c>
      <c r="D1233" t="inlineStr">
        <is>
          <t>연삭</t>
        </is>
      </c>
      <c r="E1233" t="inlineStr">
        <is>
          <t>GR-02</t>
        </is>
      </c>
      <c r="F1233" t="n">
        <v>480</v>
      </c>
      <c r="G1233" t="n">
        <v>91</v>
      </c>
      <c r="H1233" t="inlineStr">
        <is>
          <t>드레싱</t>
        </is>
      </c>
      <c r="I1233" t="n">
        <v>6.2</v>
      </c>
      <c r="J1233" t="n">
        <v>3633</v>
      </c>
      <c r="K1233" t="n">
        <v>3602</v>
      </c>
      <c r="L1233" t="inlineStr">
        <is>
          <t>L-0821</t>
        </is>
      </c>
      <c r="M1233">
        <f>F1233-G1233</f>
        <v/>
      </c>
      <c r="N1233" s="2">
        <f>M1233/F1233</f>
        <v/>
      </c>
      <c r="O1233" s="2">
        <f>I1233*J1233/60/M1233</f>
        <v/>
      </c>
      <c r="P1233" s="2">
        <f>K1233/J1233</f>
        <v/>
      </c>
      <c r="Q1233" s="2">
        <f>N1233*O1233*P1233</f>
        <v/>
      </c>
    </row>
    <row r="1234">
      <c r="A1234" t="inlineStr">
        <is>
          <t>2026-08-21</t>
        </is>
      </c>
      <c r="B1234" t="inlineStr">
        <is>
          <t>주간</t>
        </is>
      </c>
      <c r="C1234" t="inlineStr">
        <is>
          <t>P5</t>
        </is>
      </c>
      <c r="D1234" t="inlineStr">
        <is>
          <t>검사</t>
        </is>
      </c>
      <c r="E1234" t="inlineStr">
        <is>
          <t>IN-01</t>
        </is>
      </c>
      <c r="F1234" t="n">
        <v>480</v>
      </c>
      <c r="G1234" t="n">
        <v>10</v>
      </c>
      <c r="H1234" t="inlineStr">
        <is>
          <t>측정기 교정</t>
        </is>
      </c>
      <c r="I1234" t="n">
        <v>5.5</v>
      </c>
      <c r="J1234" t="n">
        <v>4811</v>
      </c>
      <c r="K1234" t="n">
        <v>4797</v>
      </c>
      <c r="L1234" t="inlineStr">
        <is>
          <t>L-0821</t>
        </is>
      </c>
      <c r="M1234">
        <f>F1234-G1234</f>
        <v/>
      </c>
      <c r="N1234" s="2">
        <f>M1234/F1234</f>
        <v/>
      </c>
      <c r="O1234" s="2">
        <f>I1234*J1234/60/M1234</f>
        <v/>
      </c>
      <c r="P1234" s="2">
        <f>K1234/J1234</f>
        <v/>
      </c>
      <c r="Q1234" s="2">
        <f>N1234*O1234*P1234</f>
        <v/>
      </c>
    </row>
    <row r="1235">
      <c r="A1235" t="inlineStr">
        <is>
          <t>2026-08-21</t>
        </is>
      </c>
      <c r="B1235" t="inlineStr">
        <is>
          <t>주간</t>
        </is>
      </c>
      <c r="C1235" t="inlineStr">
        <is>
          <t>P5</t>
        </is>
      </c>
      <c r="D1235" t="inlineStr">
        <is>
          <t>검사</t>
        </is>
      </c>
      <c r="E1235" t="inlineStr">
        <is>
          <t>IN-02</t>
        </is>
      </c>
      <c r="F1235" t="n">
        <v>480</v>
      </c>
      <c r="G1235" t="n">
        <v>6</v>
      </c>
      <c r="H1235" t="inlineStr">
        <is>
          <t>측정기 교정</t>
        </is>
      </c>
      <c r="I1235" t="n">
        <v>5.5</v>
      </c>
      <c r="J1235" t="n">
        <v>4788</v>
      </c>
      <c r="K1235" t="n">
        <v>4770</v>
      </c>
      <c r="L1235" t="inlineStr">
        <is>
          <t>L-0821</t>
        </is>
      </c>
      <c r="M1235">
        <f>F1235-G1235</f>
        <v/>
      </c>
      <c r="N1235" s="2">
        <f>M1235/F1235</f>
        <v/>
      </c>
      <c r="O1235" s="2">
        <f>I1235*J1235/60/M1235</f>
        <v/>
      </c>
      <c r="P1235" s="2">
        <f>K1235/J1235</f>
        <v/>
      </c>
      <c r="Q1235" s="2">
        <f>N1235*O1235*P1235</f>
        <v/>
      </c>
    </row>
    <row r="1236">
      <c r="A1236" t="inlineStr">
        <is>
          <t>2026-08-21</t>
        </is>
      </c>
      <c r="B1236" t="inlineStr">
        <is>
          <t>주간</t>
        </is>
      </c>
      <c r="C1236" t="inlineStr">
        <is>
          <t>P6</t>
        </is>
      </c>
      <c r="D1236" t="inlineStr">
        <is>
          <t>포장</t>
        </is>
      </c>
      <c r="E1236" t="inlineStr">
        <is>
          <t>PK-01</t>
        </is>
      </c>
      <c r="F1236" t="n">
        <v>480</v>
      </c>
      <c r="G1236" t="n">
        <v>14</v>
      </c>
      <c r="H1236" t="inlineStr">
        <is>
          <t>자재 대기</t>
        </is>
      </c>
      <c r="I1236" t="n">
        <v>4.8</v>
      </c>
      <c r="J1236" t="n">
        <v>5363</v>
      </c>
      <c r="K1236" t="n">
        <v>5349</v>
      </c>
      <c r="L1236" t="inlineStr">
        <is>
          <t>L-0821</t>
        </is>
      </c>
      <c r="M1236">
        <f>F1236-G1236</f>
        <v/>
      </c>
      <c r="N1236" s="2">
        <f>M1236/F1236</f>
        <v/>
      </c>
      <c r="O1236" s="2">
        <f>I1236*J1236/60/M1236</f>
        <v/>
      </c>
      <c r="P1236" s="2">
        <f>K1236/J1236</f>
        <v/>
      </c>
      <c r="Q1236" s="2">
        <f>N1236*O1236*P1236</f>
        <v/>
      </c>
    </row>
    <row r="1237">
      <c r="A1237" t="inlineStr">
        <is>
          <t>2026-08-21</t>
        </is>
      </c>
      <c r="B1237" t="inlineStr">
        <is>
          <t>주간</t>
        </is>
      </c>
      <c r="C1237" t="inlineStr">
        <is>
          <t>P6</t>
        </is>
      </c>
      <c r="D1237" t="inlineStr">
        <is>
          <t>포장</t>
        </is>
      </c>
      <c r="E1237" t="inlineStr">
        <is>
          <t>PK-02</t>
        </is>
      </c>
      <c r="F1237" t="n">
        <v>480</v>
      </c>
      <c r="G1237" t="n">
        <v>13</v>
      </c>
      <c r="H1237" t="inlineStr">
        <is>
          <t>라벨 교체</t>
        </is>
      </c>
      <c r="I1237" t="n">
        <v>4.8</v>
      </c>
      <c r="J1237" t="n">
        <v>5208</v>
      </c>
      <c r="K1237" t="n">
        <v>5197</v>
      </c>
      <c r="L1237" t="inlineStr">
        <is>
          <t>L-0821</t>
        </is>
      </c>
      <c r="M1237">
        <f>F1237-G1237</f>
        <v/>
      </c>
      <c r="N1237" s="2">
        <f>M1237/F1237</f>
        <v/>
      </c>
      <c r="O1237" s="2">
        <f>I1237*J1237/60/M1237</f>
        <v/>
      </c>
      <c r="P1237" s="2">
        <f>K1237/J1237</f>
        <v/>
      </c>
      <c r="Q1237" s="2">
        <f>N1237*O1237*P1237</f>
        <v/>
      </c>
    </row>
    <row r="1238">
      <c r="A1238" t="inlineStr">
        <is>
          <t>2026-08-21</t>
        </is>
      </c>
      <c r="B1238" t="inlineStr">
        <is>
          <t>야간</t>
        </is>
      </c>
      <c r="C1238" t="inlineStr">
        <is>
          <t>P1</t>
        </is>
      </c>
      <c r="D1238" t="inlineStr">
        <is>
          <t>원료혼합</t>
        </is>
      </c>
      <c r="E1238" t="inlineStr">
        <is>
          <t>MX-01</t>
        </is>
      </c>
      <c r="F1238" t="n">
        <v>480</v>
      </c>
      <c r="G1238" t="n">
        <v>7</v>
      </c>
      <c r="H1238" t="inlineStr">
        <is>
          <t>원료 대기</t>
        </is>
      </c>
      <c r="I1238" t="n">
        <v>5</v>
      </c>
      <c r="J1238" t="n">
        <v>5325</v>
      </c>
      <c r="K1238" t="n">
        <v>5288</v>
      </c>
      <c r="L1238" t="inlineStr">
        <is>
          <t>L-0821</t>
        </is>
      </c>
      <c r="M1238">
        <f>F1238-G1238</f>
        <v/>
      </c>
      <c r="N1238" s="2">
        <f>M1238/F1238</f>
        <v/>
      </c>
      <c r="O1238" s="2">
        <f>I1238*J1238/60/M1238</f>
        <v/>
      </c>
      <c r="P1238" s="2">
        <f>K1238/J1238</f>
        <v/>
      </c>
      <c r="Q1238" s="2">
        <f>N1238*O1238*P1238</f>
        <v/>
      </c>
    </row>
    <row r="1239">
      <c r="A1239" t="inlineStr">
        <is>
          <t>2026-08-21</t>
        </is>
      </c>
      <c r="B1239" t="inlineStr">
        <is>
          <t>야간</t>
        </is>
      </c>
      <c r="C1239" t="inlineStr">
        <is>
          <t>P1</t>
        </is>
      </c>
      <c r="D1239" t="inlineStr">
        <is>
          <t>원료혼합</t>
        </is>
      </c>
      <c r="E1239" t="inlineStr">
        <is>
          <t>MX-02</t>
        </is>
      </c>
      <c r="F1239" t="n">
        <v>480</v>
      </c>
      <c r="G1239" t="n">
        <v>61</v>
      </c>
      <c r="H1239" t="inlineStr">
        <is>
          <t>원료 대기</t>
        </is>
      </c>
      <c r="I1239" t="n">
        <v>5</v>
      </c>
      <c r="J1239" t="n">
        <v>4710</v>
      </c>
      <c r="K1239" t="n">
        <v>4677</v>
      </c>
      <c r="L1239" t="inlineStr">
        <is>
          <t>L-0821</t>
        </is>
      </c>
      <c r="M1239">
        <f>F1239-G1239</f>
        <v/>
      </c>
      <c r="N1239" s="2">
        <f>M1239/F1239</f>
        <v/>
      </c>
      <c r="O1239" s="2">
        <f>I1239*J1239/60/M1239</f>
        <v/>
      </c>
      <c r="P1239" s="2">
        <f>K1239/J1239</f>
        <v/>
      </c>
      <c r="Q1239" s="2">
        <f>N1239*O1239*P1239</f>
        <v/>
      </c>
    </row>
    <row r="1240">
      <c r="A1240" t="inlineStr">
        <is>
          <t>2026-08-21</t>
        </is>
      </c>
      <c r="B1240" t="inlineStr">
        <is>
          <t>야간</t>
        </is>
      </c>
      <c r="C1240" t="inlineStr">
        <is>
          <t>P2</t>
        </is>
      </c>
      <c r="D1240" t="inlineStr">
        <is>
          <t>성형</t>
        </is>
      </c>
      <c r="E1240" t="inlineStr">
        <is>
          <t>PR-01</t>
        </is>
      </c>
      <c r="F1240" t="n">
        <v>480</v>
      </c>
      <c r="G1240" t="n">
        <v>28</v>
      </c>
      <c r="H1240" t="inlineStr">
        <is>
          <t>분말 공급 지연</t>
        </is>
      </c>
      <c r="I1240" t="n">
        <v>6</v>
      </c>
      <c r="J1240" t="n">
        <v>4228</v>
      </c>
      <c r="K1240" t="n">
        <v>4160</v>
      </c>
      <c r="L1240" t="inlineStr">
        <is>
          <t>L-0821</t>
        </is>
      </c>
      <c r="M1240">
        <f>F1240-G1240</f>
        <v/>
      </c>
      <c r="N1240" s="2">
        <f>M1240/F1240</f>
        <v/>
      </c>
      <c r="O1240" s="2">
        <f>I1240*J1240/60/M1240</f>
        <v/>
      </c>
      <c r="P1240" s="2">
        <f>K1240/J1240</f>
        <v/>
      </c>
      <c r="Q1240" s="2">
        <f>N1240*O1240*P1240</f>
        <v/>
      </c>
    </row>
    <row r="1241">
      <c r="A1241" t="inlineStr">
        <is>
          <t>2026-08-21</t>
        </is>
      </c>
      <c r="B1241" t="inlineStr">
        <is>
          <t>야간</t>
        </is>
      </c>
      <c r="C1241" t="inlineStr">
        <is>
          <t>P2</t>
        </is>
      </c>
      <c r="D1241" t="inlineStr">
        <is>
          <t>성형</t>
        </is>
      </c>
      <c r="E1241" t="inlineStr">
        <is>
          <t>PR-02</t>
        </is>
      </c>
      <c r="F1241" t="n">
        <v>480</v>
      </c>
      <c r="G1241" t="n">
        <v>23</v>
      </c>
      <c r="H1241" t="inlineStr">
        <is>
          <t>압력 이상</t>
        </is>
      </c>
      <c r="I1241" t="n">
        <v>6</v>
      </c>
      <c r="J1241" t="n">
        <v>4187</v>
      </c>
      <c r="K1241" t="n">
        <v>4117</v>
      </c>
      <c r="L1241" t="inlineStr">
        <is>
          <t>L-0821</t>
        </is>
      </c>
      <c r="M1241">
        <f>F1241-G1241</f>
        <v/>
      </c>
      <c r="N1241" s="2">
        <f>M1241/F1241</f>
        <v/>
      </c>
      <c r="O1241" s="2">
        <f>I1241*J1241/60/M1241</f>
        <v/>
      </c>
      <c r="P1241" s="2">
        <f>K1241/J1241</f>
        <v/>
      </c>
      <c r="Q1241" s="2">
        <f>N1241*O1241*P1241</f>
        <v/>
      </c>
    </row>
    <row r="1242">
      <c r="A1242" t="inlineStr">
        <is>
          <t>2026-08-21</t>
        </is>
      </c>
      <c r="B1242" t="inlineStr">
        <is>
          <t>야간</t>
        </is>
      </c>
      <c r="C1242" t="inlineStr">
        <is>
          <t>P3</t>
        </is>
      </c>
      <c r="D1242" t="inlineStr">
        <is>
          <t>소결</t>
        </is>
      </c>
      <c r="E1242" t="inlineStr">
        <is>
          <t>SF-01</t>
        </is>
      </c>
      <c r="F1242" t="n">
        <v>480</v>
      </c>
      <c r="G1242" t="n">
        <v>29</v>
      </c>
      <c r="H1242" t="inlineStr">
        <is>
          <t>재가열</t>
        </is>
      </c>
      <c r="I1242" t="n">
        <v>6.5</v>
      </c>
      <c r="J1242" t="n">
        <v>3800</v>
      </c>
      <c r="K1242" t="n">
        <v>3705</v>
      </c>
      <c r="L1242" t="inlineStr">
        <is>
          <t>L-0821</t>
        </is>
      </c>
      <c r="M1242">
        <f>F1242-G1242</f>
        <v/>
      </c>
      <c r="N1242" s="2">
        <f>M1242/F1242</f>
        <v/>
      </c>
      <c r="O1242" s="2">
        <f>I1242*J1242/60/M1242</f>
        <v/>
      </c>
      <c r="P1242" s="2">
        <f>K1242/J1242</f>
        <v/>
      </c>
      <c r="Q1242" s="2">
        <f>N1242*O1242*P1242</f>
        <v/>
      </c>
    </row>
    <row r="1243">
      <c r="A1243" t="inlineStr">
        <is>
          <t>2026-08-21</t>
        </is>
      </c>
      <c r="B1243" t="inlineStr">
        <is>
          <t>야간</t>
        </is>
      </c>
      <c r="C1243" t="inlineStr">
        <is>
          <t>P3</t>
        </is>
      </c>
      <c r="D1243" t="inlineStr">
        <is>
          <t>소결</t>
        </is>
      </c>
      <c r="E1243" t="inlineStr">
        <is>
          <t>SF-02</t>
        </is>
      </c>
      <c r="F1243" t="n">
        <v>480</v>
      </c>
      <c r="G1243" t="n">
        <v>107</v>
      </c>
      <c r="H1243" t="inlineStr">
        <is>
          <t>재가열</t>
        </is>
      </c>
      <c r="I1243" t="n">
        <v>6.5</v>
      </c>
      <c r="J1243" t="n">
        <v>2899</v>
      </c>
      <c r="K1243" t="n">
        <v>2723</v>
      </c>
      <c r="L1243" t="inlineStr">
        <is>
          <t>L-0821</t>
        </is>
      </c>
      <c r="M1243">
        <f>F1243-G1243</f>
        <v/>
      </c>
      <c r="N1243" s="2">
        <f>M1243/F1243</f>
        <v/>
      </c>
      <c r="O1243" s="2">
        <f>I1243*J1243/60/M1243</f>
        <v/>
      </c>
      <c r="P1243" s="2">
        <f>K1243/J1243</f>
        <v/>
      </c>
      <c r="Q1243" s="2">
        <f>N1243*O1243*P1243</f>
        <v/>
      </c>
    </row>
    <row r="1244">
      <c r="A1244" t="inlineStr">
        <is>
          <t>2026-08-21</t>
        </is>
      </c>
      <c r="B1244" t="inlineStr">
        <is>
          <t>야간</t>
        </is>
      </c>
      <c r="C1244" t="inlineStr">
        <is>
          <t>P4</t>
        </is>
      </c>
      <c r="D1244" t="inlineStr">
        <is>
          <t>연삭</t>
        </is>
      </c>
      <c r="E1244" t="inlineStr">
        <is>
          <t>GR-01</t>
        </is>
      </c>
      <c r="F1244" t="n">
        <v>480</v>
      </c>
      <c r="G1244" t="n">
        <v>49</v>
      </c>
      <c r="H1244" t="inlineStr">
        <is>
          <t>드레싱</t>
        </is>
      </c>
      <c r="I1244" t="n">
        <v>6.2</v>
      </c>
      <c r="J1244" t="n">
        <v>3741</v>
      </c>
      <c r="K1244" t="n">
        <v>3696</v>
      </c>
      <c r="L1244" t="inlineStr">
        <is>
          <t>L-0821</t>
        </is>
      </c>
      <c r="M1244">
        <f>F1244-G1244</f>
        <v/>
      </c>
      <c r="N1244" s="2">
        <f>M1244/F1244</f>
        <v/>
      </c>
      <c r="O1244" s="2">
        <f>I1244*J1244/60/M1244</f>
        <v/>
      </c>
      <c r="P1244" s="2">
        <f>K1244/J1244</f>
        <v/>
      </c>
      <c r="Q1244" s="2">
        <f>N1244*O1244*P1244</f>
        <v/>
      </c>
    </row>
    <row r="1245">
      <c r="A1245" t="inlineStr">
        <is>
          <t>2026-08-21</t>
        </is>
      </c>
      <c r="B1245" t="inlineStr">
        <is>
          <t>야간</t>
        </is>
      </c>
      <c r="C1245" t="inlineStr">
        <is>
          <t>P4</t>
        </is>
      </c>
      <c r="D1245" t="inlineStr">
        <is>
          <t>연삭</t>
        </is>
      </c>
      <c r="E1245" t="inlineStr">
        <is>
          <t>GR-02</t>
        </is>
      </c>
      <c r="F1245" t="n">
        <v>480</v>
      </c>
      <c r="G1245" t="n">
        <v>49</v>
      </c>
      <c r="H1245" t="inlineStr">
        <is>
          <t>공구 교체</t>
        </is>
      </c>
      <c r="I1245" t="n">
        <v>6.2</v>
      </c>
      <c r="J1245" t="n">
        <v>3684</v>
      </c>
      <c r="K1245" t="n">
        <v>3638</v>
      </c>
      <c r="L1245" t="inlineStr">
        <is>
          <t>L-0821</t>
        </is>
      </c>
      <c r="M1245">
        <f>F1245-G1245</f>
        <v/>
      </c>
      <c r="N1245" s="2">
        <f>M1245/F1245</f>
        <v/>
      </c>
      <c r="O1245" s="2">
        <f>I1245*J1245/60/M1245</f>
        <v/>
      </c>
      <c r="P1245" s="2">
        <f>K1245/J1245</f>
        <v/>
      </c>
      <c r="Q1245" s="2">
        <f>N1245*O1245*P1245</f>
        <v/>
      </c>
    </row>
    <row r="1246">
      <c r="A1246" t="inlineStr">
        <is>
          <t>2026-08-21</t>
        </is>
      </c>
      <c r="B1246" t="inlineStr">
        <is>
          <t>야간</t>
        </is>
      </c>
      <c r="C1246" t="inlineStr">
        <is>
          <t>P5</t>
        </is>
      </c>
      <c r="D1246" t="inlineStr">
        <is>
          <t>검사</t>
        </is>
      </c>
      <c r="E1246" t="inlineStr">
        <is>
          <t>IN-01</t>
        </is>
      </c>
      <c r="F1246" t="n">
        <v>480</v>
      </c>
      <c r="G1246" t="n">
        <v>6</v>
      </c>
      <c r="H1246" t="inlineStr">
        <is>
          <t>샘플 재검</t>
        </is>
      </c>
      <c r="I1246" t="n">
        <v>5.5</v>
      </c>
      <c r="J1246" t="n">
        <v>4760</v>
      </c>
      <c r="K1246" t="n">
        <v>4741</v>
      </c>
      <c r="L1246" t="inlineStr">
        <is>
          <t>L-0821</t>
        </is>
      </c>
      <c r="M1246">
        <f>F1246-G1246</f>
        <v/>
      </c>
      <c r="N1246" s="2">
        <f>M1246/F1246</f>
        <v/>
      </c>
      <c r="O1246" s="2">
        <f>I1246*J1246/60/M1246</f>
        <v/>
      </c>
      <c r="P1246" s="2">
        <f>K1246/J1246</f>
        <v/>
      </c>
      <c r="Q1246" s="2">
        <f>N1246*O1246*P1246</f>
        <v/>
      </c>
    </row>
    <row r="1247">
      <c r="A1247" t="inlineStr">
        <is>
          <t>2026-08-21</t>
        </is>
      </c>
      <c r="B1247" t="inlineStr">
        <is>
          <t>야간</t>
        </is>
      </c>
      <c r="C1247" t="inlineStr">
        <is>
          <t>P5</t>
        </is>
      </c>
      <c r="D1247" t="inlineStr">
        <is>
          <t>검사</t>
        </is>
      </c>
      <c r="E1247" t="inlineStr">
        <is>
          <t>IN-02</t>
        </is>
      </c>
      <c r="F1247" t="n">
        <v>480</v>
      </c>
      <c r="G1247" t="n">
        <v>28</v>
      </c>
      <c r="H1247" t="inlineStr">
        <is>
          <t>측정기 교정</t>
        </is>
      </c>
      <c r="I1247" t="n">
        <v>5.5</v>
      </c>
      <c r="J1247" t="n">
        <v>4705</v>
      </c>
      <c r="K1247" t="n">
        <v>4685</v>
      </c>
      <c r="L1247" t="inlineStr">
        <is>
          <t>L-0821</t>
        </is>
      </c>
      <c r="M1247">
        <f>F1247-G1247</f>
        <v/>
      </c>
      <c r="N1247" s="2">
        <f>M1247/F1247</f>
        <v/>
      </c>
      <c r="O1247" s="2">
        <f>I1247*J1247/60/M1247</f>
        <v/>
      </c>
      <c r="P1247" s="2">
        <f>K1247/J1247</f>
        <v/>
      </c>
      <c r="Q1247" s="2">
        <f>N1247*O1247*P1247</f>
        <v/>
      </c>
    </row>
    <row r="1248">
      <c r="A1248" t="inlineStr">
        <is>
          <t>2026-08-21</t>
        </is>
      </c>
      <c r="B1248" t="inlineStr">
        <is>
          <t>야간</t>
        </is>
      </c>
      <c r="C1248" t="inlineStr">
        <is>
          <t>P6</t>
        </is>
      </c>
      <c r="D1248" t="inlineStr">
        <is>
          <t>포장</t>
        </is>
      </c>
      <c r="E1248" t="inlineStr">
        <is>
          <t>PK-01</t>
        </is>
      </c>
      <c r="F1248" t="n">
        <v>480</v>
      </c>
      <c r="G1248" t="n">
        <v>6</v>
      </c>
      <c r="H1248" t="inlineStr">
        <is>
          <t>라벨 교체</t>
        </is>
      </c>
      <c r="I1248" t="n">
        <v>4.8</v>
      </c>
      <c r="J1248" t="n">
        <v>5490</v>
      </c>
      <c r="K1248" t="n">
        <v>5474</v>
      </c>
      <c r="L1248" t="inlineStr">
        <is>
          <t>L-0821</t>
        </is>
      </c>
      <c r="M1248">
        <f>F1248-G1248</f>
        <v/>
      </c>
      <c r="N1248" s="2">
        <f>M1248/F1248</f>
        <v/>
      </c>
      <c r="O1248" s="2">
        <f>I1248*J1248/60/M1248</f>
        <v/>
      </c>
      <c r="P1248" s="2">
        <f>K1248/J1248</f>
        <v/>
      </c>
      <c r="Q1248" s="2">
        <f>N1248*O1248*P1248</f>
        <v/>
      </c>
    </row>
    <row r="1249">
      <c r="A1249" t="inlineStr">
        <is>
          <t>2026-08-21</t>
        </is>
      </c>
      <c r="B1249" t="inlineStr">
        <is>
          <t>야간</t>
        </is>
      </c>
      <c r="C1249" t="inlineStr">
        <is>
          <t>P6</t>
        </is>
      </c>
      <c r="D1249" t="inlineStr">
        <is>
          <t>포장</t>
        </is>
      </c>
      <c r="E1249" t="inlineStr">
        <is>
          <t>PK-02</t>
        </is>
      </c>
      <c r="F1249" t="n">
        <v>480</v>
      </c>
      <c r="G1249" t="n">
        <v>24</v>
      </c>
      <c r="H1249" t="inlineStr">
        <is>
          <t>라벨 교체</t>
        </is>
      </c>
      <c r="I1249" t="n">
        <v>4.8</v>
      </c>
      <c r="J1249" t="n">
        <v>5362</v>
      </c>
      <c r="K1249" t="n">
        <v>5344</v>
      </c>
      <c r="L1249" t="inlineStr">
        <is>
          <t>L-0821</t>
        </is>
      </c>
      <c r="M1249">
        <f>F1249-G1249</f>
        <v/>
      </c>
      <c r="N1249" s="2">
        <f>M1249/F1249</f>
        <v/>
      </c>
      <c r="O1249" s="2">
        <f>I1249*J1249/60/M1249</f>
        <v/>
      </c>
      <c r="P1249" s="2">
        <f>K1249/J1249</f>
        <v/>
      </c>
      <c r="Q1249" s="2">
        <f>N1249*O1249*P1249</f>
        <v/>
      </c>
    </row>
    <row r="1250">
      <c r="A1250" t="inlineStr">
        <is>
          <t>2026-08-22</t>
        </is>
      </c>
      <c r="B1250" t="inlineStr">
        <is>
          <t>주간</t>
        </is>
      </c>
      <c r="C1250" t="inlineStr">
        <is>
          <t>P1</t>
        </is>
      </c>
      <c r="D1250" t="inlineStr">
        <is>
          <t>원료혼합</t>
        </is>
      </c>
      <c r="E1250" t="inlineStr">
        <is>
          <t>MX-01</t>
        </is>
      </c>
      <c r="F1250" t="n">
        <v>480</v>
      </c>
      <c r="G1250" t="n">
        <v>1</v>
      </c>
      <c r="H1250" t="inlineStr">
        <is>
          <t>청소</t>
        </is>
      </c>
      <c r="I1250" t="n">
        <v>5</v>
      </c>
      <c r="J1250" t="n">
        <v>5226</v>
      </c>
      <c r="K1250" t="n">
        <v>5192</v>
      </c>
      <c r="L1250" t="inlineStr">
        <is>
          <t>L-0821</t>
        </is>
      </c>
      <c r="M1250">
        <f>F1250-G1250</f>
        <v/>
      </c>
      <c r="N1250" s="2">
        <f>M1250/F1250</f>
        <v/>
      </c>
      <c r="O1250" s="2">
        <f>I1250*J1250/60/M1250</f>
        <v/>
      </c>
      <c r="P1250" s="2">
        <f>K1250/J1250</f>
        <v/>
      </c>
      <c r="Q1250" s="2">
        <f>N1250*O1250*P1250</f>
        <v/>
      </c>
    </row>
    <row r="1251">
      <c r="A1251" t="inlineStr">
        <is>
          <t>2026-08-22</t>
        </is>
      </c>
      <c r="B1251" t="inlineStr">
        <is>
          <t>주간</t>
        </is>
      </c>
      <c r="C1251" t="inlineStr">
        <is>
          <t>P1</t>
        </is>
      </c>
      <c r="D1251" t="inlineStr">
        <is>
          <t>원료혼합</t>
        </is>
      </c>
      <c r="E1251" t="inlineStr">
        <is>
          <t>MX-02</t>
        </is>
      </c>
      <c r="F1251" t="n">
        <v>480</v>
      </c>
      <c r="G1251" t="n">
        <v>37</v>
      </c>
      <c r="H1251" t="inlineStr">
        <is>
          <t>청소</t>
        </is>
      </c>
      <c r="I1251" t="n">
        <v>5</v>
      </c>
      <c r="J1251" t="n">
        <v>4949</v>
      </c>
      <c r="K1251" t="n">
        <v>4924</v>
      </c>
      <c r="L1251" t="inlineStr">
        <is>
          <t>L-0821</t>
        </is>
      </c>
      <c r="M1251">
        <f>F1251-G1251</f>
        <v/>
      </c>
      <c r="N1251" s="2">
        <f>M1251/F1251</f>
        <v/>
      </c>
      <c r="O1251" s="2">
        <f>I1251*J1251/60/M1251</f>
        <v/>
      </c>
      <c r="P1251" s="2">
        <f>K1251/J1251</f>
        <v/>
      </c>
      <c r="Q1251" s="2">
        <f>N1251*O1251*P1251</f>
        <v/>
      </c>
    </row>
    <row r="1252">
      <c r="A1252" t="inlineStr">
        <is>
          <t>2026-08-22</t>
        </is>
      </c>
      <c r="B1252" t="inlineStr">
        <is>
          <t>주간</t>
        </is>
      </c>
      <c r="C1252" t="inlineStr">
        <is>
          <t>P2</t>
        </is>
      </c>
      <c r="D1252" t="inlineStr">
        <is>
          <t>성형</t>
        </is>
      </c>
      <c r="E1252" t="inlineStr">
        <is>
          <t>PR-01</t>
        </is>
      </c>
      <c r="F1252" t="n">
        <v>480</v>
      </c>
      <c r="G1252" t="n">
        <v>52</v>
      </c>
      <c r="H1252" t="inlineStr">
        <is>
          <t>압력 이상</t>
        </is>
      </c>
      <c r="I1252" t="n">
        <v>6</v>
      </c>
      <c r="J1252" t="n">
        <v>3994</v>
      </c>
      <c r="K1252" t="n">
        <v>3941</v>
      </c>
      <c r="L1252" t="inlineStr">
        <is>
          <t>L-0821</t>
        </is>
      </c>
      <c r="M1252">
        <f>F1252-G1252</f>
        <v/>
      </c>
      <c r="N1252" s="2">
        <f>M1252/F1252</f>
        <v/>
      </c>
      <c r="O1252" s="2">
        <f>I1252*J1252/60/M1252</f>
        <v/>
      </c>
      <c r="P1252" s="2">
        <f>K1252/J1252</f>
        <v/>
      </c>
      <c r="Q1252" s="2">
        <f>N1252*O1252*P1252</f>
        <v/>
      </c>
    </row>
    <row r="1253">
      <c r="A1253" t="inlineStr">
        <is>
          <t>2026-08-22</t>
        </is>
      </c>
      <c r="B1253" t="inlineStr">
        <is>
          <t>주간</t>
        </is>
      </c>
      <c r="C1253" t="inlineStr">
        <is>
          <t>P2</t>
        </is>
      </c>
      <c r="D1253" t="inlineStr">
        <is>
          <t>성형</t>
        </is>
      </c>
      <c r="E1253" t="inlineStr">
        <is>
          <t>PR-02</t>
        </is>
      </c>
      <c r="F1253" t="n">
        <v>480</v>
      </c>
      <c r="G1253" t="n">
        <v>18</v>
      </c>
      <c r="H1253" t="inlineStr">
        <is>
          <t>금형 교체</t>
        </is>
      </c>
      <c r="I1253" t="n">
        <v>6</v>
      </c>
      <c r="J1253" t="n">
        <v>4148</v>
      </c>
      <c r="K1253" t="n">
        <v>4096</v>
      </c>
      <c r="L1253" t="inlineStr">
        <is>
          <t>L-0821</t>
        </is>
      </c>
      <c r="M1253">
        <f>F1253-G1253</f>
        <v/>
      </c>
      <c r="N1253" s="2">
        <f>M1253/F1253</f>
        <v/>
      </c>
      <c r="O1253" s="2">
        <f>I1253*J1253/60/M1253</f>
        <v/>
      </c>
      <c r="P1253" s="2">
        <f>K1253/J1253</f>
        <v/>
      </c>
      <c r="Q1253" s="2">
        <f>N1253*O1253*P1253</f>
        <v/>
      </c>
    </row>
    <row r="1254">
      <c r="A1254" t="inlineStr">
        <is>
          <t>2026-08-22</t>
        </is>
      </c>
      <c r="B1254" t="inlineStr">
        <is>
          <t>주간</t>
        </is>
      </c>
      <c r="C1254" t="inlineStr">
        <is>
          <t>P3</t>
        </is>
      </c>
      <c r="D1254" t="inlineStr">
        <is>
          <t>소결</t>
        </is>
      </c>
      <c r="E1254" t="inlineStr">
        <is>
          <t>SF-01</t>
        </is>
      </c>
      <c r="F1254" t="n">
        <v>480</v>
      </c>
      <c r="G1254" t="n">
        <v>28</v>
      </c>
      <c r="H1254" t="inlineStr">
        <is>
          <t>장입 대기</t>
        </is>
      </c>
      <c r="I1254" t="n">
        <v>6.5</v>
      </c>
      <c r="J1254" t="n">
        <v>3927</v>
      </c>
      <c r="K1254" t="n">
        <v>3857</v>
      </c>
      <c r="L1254" t="inlineStr">
        <is>
          <t>L-0821</t>
        </is>
      </c>
      <c r="M1254">
        <f>F1254-G1254</f>
        <v/>
      </c>
      <c r="N1254" s="2">
        <f>M1254/F1254</f>
        <v/>
      </c>
      <c r="O1254" s="2">
        <f>I1254*J1254/60/M1254</f>
        <v/>
      </c>
      <c r="P1254" s="2">
        <f>K1254/J1254</f>
        <v/>
      </c>
      <c r="Q1254" s="2">
        <f>N1254*O1254*P1254</f>
        <v/>
      </c>
    </row>
    <row r="1255">
      <c r="A1255" t="inlineStr">
        <is>
          <t>2026-08-22</t>
        </is>
      </c>
      <c r="B1255" t="inlineStr">
        <is>
          <t>주간</t>
        </is>
      </c>
      <c r="C1255" t="inlineStr">
        <is>
          <t>P3</t>
        </is>
      </c>
      <c r="D1255" t="inlineStr">
        <is>
          <t>소결</t>
        </is>
      </c>
      <c r="E1255" t="inlineStr">
        <is>
          <t>SF-02</t>
        </is>
      </c>
      <c r="F1255" t="n">
        <v>480</v>
      </c>
      <c r="G1255" t="n">
        <v>100</v>
      </c>
      <c r="H1255" t="inlineStr">
        <is>
          <t>재가열</t>
        </is>
      </c>
      <c r="I1255" t="n">
        <v>6.5</v>
      </c>
      <c r="J1255" t="n">
        <v>3030</v>
      </c>
      <c r="K1255" t="n">
        <v>2788</v>
      </c>
      <c r="L1255" t="inlineStr">
        <is>
          <t>L-0821</t>
        </is>
      </c>
      <c r="M1255">
        <f>F1255-G1255</f>
        <v/>
      </c>
      <c r="N1255" s="2">
        <f>M1255/F1255</f>
        <v/>
      </c>
      <c r="O1255" s="2">
        <f>I1255*J1255/60/M1255</f>
        <v/>
      </c>
      <c r="P1255" s="2">
        <f>K1255/J1255</f>
        <v/>
      </c>
      <c r="Q1255" s="2">
        <f>N1255*O1255*P1255</f>
        <v/>
      </c>
    </row>
    <row r="1256">
      <c r="A1256" t="inlineStr">
        <is>
          <t>2026-08-22</t>
        </is>
      </c>
      <c r="B1256" t="inlineStr">
        <is>
          <t>주간</t>
        </is>
      </c>
      <c r="C1256" t="inlineStr">
        <is>
          <t>P4</t>
        </is>
      </c>
      <c r="D1256" t="inlineStr">
        <is>
          <t>연삭</t>
        </is>
      </c>
      <c r="E1256" t="inlineStr">
        <is>
          <t>GR-01</t>
        </is>
      </c>
      <c r="F1256" t="n">
        <v>480</v>
      </c>
      <c r="G1256" t="n">
        <v>52</v>
      </c>
      <c r="H1256" t="inlineStr">
        <is>
          <t>공구 교체</t>
        </is>
      </c>
      <c r="I1256" t="n">
        <v>6.2</v>
      </c>
      <c r="J1256" t="n">
        <v>3893</v>
      </c>
      <c r="K1256" t="n">
        <v>3858</v>
      </c>
      <c r="L1256" t="inlineStr">
        <is>
          <t>L-0821</t>
        </is>
      </c>
      <c r="M1256">
        <f>F1256-G1256</f>
        <v/>
      </c>
      <c r="N1256" s="2">
        <f>M1256/F1256</f>
        <v/>
      </c>
      <c r="O1256" s="2">
        <f>I1256*J1256/60/M1256</f>
        <v/>
      </c>
      <c r="P1256" s="2">
        <f>K1256/J1256</f>
        <v/>
      </c>
      <c r="Q1256" s="2">
        <f>N1256*O1256*P1256</f>
        <v/>
      </c>
    </row>
    <row r="1257">
      <c r="A1257" t="inlineStr">
        <is>
          <t>2026-08-22</t>
        </is>
      </c>
      <c r="B1257" t="inlineStr">
        <is>
          <t>주간</t>
        </is>
      </c>
      <c r="C1257" t="inlineStr">
        <is>
          <t>P4</t>
        </is>
      </c>
      <c r="D1257" t="inlineStr">
        <is>
          <t>연삭</t>
        </is>
      </c>
      <c r="E1257" t="inlineStr">
        <is>
          <t>GR-02</t>
        </is>
      </c>
      <c r="F1257" t="n">
        <v>480</v>
      </c>
      <c r="G1257" t="n">
        <v>38</v>
      </c>
      <c r="H1257" t="inlineStr">
        <is>
          <t>드레싱</t>
        </is>
      </c>
      <c r="I1257" t="n">
        <v>6.2</v>
      </c>
      <c r="J1257" t="n">
        <v>4053</v>
      </c>
      <c r="K1257" t="n">
        <v>4014</v>
      </c>
      <c r="L1257" t="inlineStr">
        <is>
          <t>L-0821</t>
        </is>
      </c>
      <c r="M1257">
        <f>F1257-G1257</f>
        <v/>
      </c>
      <c r="N1257" s="2">
        <f>M1257/F1257</f>
        <v/>
      </c>
      <c r="O1257" s="2">
        <f>I1257*J1257/60/M1257</f>
        <v/>
      </c>
      <c r="P1257" s="2">
        <f>K1257/J1257</f>
        <v/>
      </c>
      <c r="Q1257" s="2">
        <f>N1257*O1257*P1257</f>
        <v/>
      </c>
    </row>
    <row r="1258">
      <c r="A1258" t="inlineStr">
        <is>
          <t>2026-08-22</t>
        </is>
      </c>
      <c r="B1258" t="inlineStr">
        <is>
          <t>주간</t>
        </is>
      </c>
      <c r="C1258" t="inlineStr">
        <is>
          <t>P5</t>
        </is>
      </c>
      <c r="D1258" t="inlineStr">
        <is>
          <t>검사</t>
        </is>
      </c>
      <c r="E1258" t="inlineStr">
        <is>
          <t>IN-01</t>
        </is>
      </c>
      <c r="F1258" t="n">
        <v>480</v>
      </c>
      <c r="G1258" t="n">
        <v>13</v>
      </c>
      <c r="H1258" t="inlineStr">
        <is>
          <t>측정기 교정</t>
        </is>
      </c>
      <c r="I1258" t="n">
        <v>5.5</v>
      </c>
      <c r="J1258" t="n">
        <v>4794</v>
      </c>
      <c r="K1258" t="n">
        <v>4776</v>
      </c>
      <c r="L1258" t="inlineStr">
        <is>
          <t>L-0821</t>
        </is>
      </c>
      <c r="M1258">
        <f>F1258-G1258</f>
        <v/>
      </c>
      <c r="N1258" s="2">
        <f>M1258/F1258</f>
        <v/>
      </c>
      <c r="O1258" s="2">
        <f>I1258*J1258/60/M1258</f>
        <v/>
      </c>
      <c r="P1258" s="2">
        <f>K1258/J1258</f>
        <v/>
      </c>
      <c r="Q1258" s="2">
        <f>N1258*O1258*P1258</f>
        <v/>
      </c>
    </row>
    <row r="1259">
      <c r="A1259" t="inlineStr">
        <is>
          <t>2026-08-22</t>
        </is>
      </c>
      <c r="B1259" t="inlineStr">
        <is>
          <t>주간</t>
        </is>
      </c>
      <c r="C1259" t="inlineStr">
        <is>
          <t>P5</t>
        </is>
      </c>
      <c r="D1259" t="inlineStr">
        <is>
          <t>검사</t>
        </is>
      </c>
      <c r="E1259" t="inlineStr">
        <is>
          <t>IN-02</t>
        </is>
      </c>
      <c r="F1259" t="n">
        <v>480</v>
      </c>
      <c r="G1259" t="n">
        <v>10</v>
      </c>
      <c r="H1259" t="inlineStr">
        <is>
          <t>측정기 교정</t>
        </is>
      </c>
      <c r="I1259" t="n">
        <v>5.5</v>
      </c>
      <c r="J1259" t="n">
        <v>4973</v>
      </c>
      <c r="K1259" t="n">
        <v>4955</v>
      </c>
      <c r="L1259" t="inlineStr">
        <is>
          <t>L-0821</t>
        </is>
      </c>
      <c r="M1259">
        <f>F1259-G1259</f>
        <v/>
      </c>
      <c r="N1259" s="2">
        <f>M1259/F1259</f>
        <v/>
      </c>
      <c r="O1259" s="2">
        <f>I1259*J1259/60/M1259</f>
        <v/>
      </c>
      <c r="P1259" s="2">
        <f>K1259/J1259</f>
        <v/>
      </c>
      <c r="Q1259" s="2">
        <f>N1259*O1259*P1259</f>
        <v/>
      </c>
    </row>
    <row r="1260">
      <c r="A1260" t="inlineStr">
        <is>
          <t>2026-08-22</t>
        </is>
      </c>
      <c r="B1260" t="inlineStr">
        <is>
          <t>주간</t>
        </is>
      </c>
      <c r="C1260" t="inlineStr">
        <is>
          <t>P6</t>
        </is>
      </c>
      <c r="D1260" t="inlineStr">
        <is>
          <t>포장</t>
        </is>
      </c>
      <c r="E1260" t="inlineStr">
        <is>
          <t>PK-01</t>
        </is>
      </c>
      <c r="F1260" t="n">
        <v>480</v>
      </c>
      <c r="G1260" t="n">
        <v>13</v>
      </c>
      <c r="H1260" t="inlineStr">
        <is>
          <t>자재 대기</t>
        </is>
      </c>
      <c r="I1260" t="n">
        <v>4.8</v>
      </c>
      <c r="J1260" t="n">
        <v>5278</v>
      </c>
      <c r="K1260" t="n">
        <v>5265</v>
      </c>
      <c r="L1260" t="inlineStr">
        <is>
          <t>L-0821</t>
        </is>
      </c>
      <c r="M1260">
        <f>F1260-G1260</f>
        <v/>
      </c>
      <c r="N1260" s="2">
        <f>M1260/F1260</f>
        <v/>
      </c>
      <c r="O1260" s="2">
        <f>I1260*J1260/60/M1260</f>
        <v/>
      </c>
      <c r="P1260" s="2">
        <f>K1260/J1260</f>
        <v/>
      </c>
      <c r="Q1260" s="2">
        <f>N1260*O1260*P1260</f>
        <v/>
      </c>
    </row>
    <row r="1261">
      <c r="A1261" t="inlineStr">
        <is>
          <t>2026-08-22</t>
        </is>
      </c>
      <c r="B1261" t="inlineStr">
        <is>
          <t>주간</t>
        </is>
      </c>
      <c r="C1261" t="inlineStr">
        <is>
          <t>P6</t>
        </is>
      </c>
      <c r="D1261" t="inlineStr">
        <is>
          <t>포장</t>
        </is>
      </c>
      <c r="E1261" t="inlineStr">
        <is>
          <t>PK-02</t>
        </is>
      </c>
      <c r="F1261" t="n">
        <v>480</v>
      </c>
      <c r="G1261" t="n">
        <v>39</v>
      </c>
      <c r="H1261" t="inlineStr">
        <is>
          <t>라벨 교체</t>
        </is>
      </c>
      <c r="I1261" t="n">
        <v>4.8</v>
      </c>
      <c r="J1261" t="n">
        <v>5054</v>
      </c>
      <c r="K1261" t="n">
        <v>5046</v>
      </c>
      <c r="L1261" t="inlineStr">
        <is>
          <t>L-0821</t>
        </is>
      </c>
      <c r="M1261">
        <f>F1261-G1261</f>
        <v/>
      </c>
      <c r="N1261" s="2">
        <f>M1261/F1261</f>
        <v/>
      </c>
      <c r="O1261" s="2">
        <f>I1261*J1261/60/M1261</f>
        <v/>
      </c>
      <c r="P1261" s="2">
        <f>K1261/J1261</f>
        <v/>
      </c>
      <c r="Q1261" s="2">
        <f>N1261*O1261*P1261</f>
        <v/>
      </c>
    </row>
    <row r="1262">
      <c r="A1262" t="inlineStr">
        <is>
          <t>2026-08-22</t>
        </is>
      </c>
      <c r="B1262" t="inlineStr">
        <is>
          <t>야간</t>
        </is>
      </c>
      <c r="C1262" t="inlineStr">
        <is>
          <t>P1</t>
        </is>
      </c>
      <c r="D1262" t="inlineStr">
        <is>
          <t>원료혼합</t>
        </is>
      </c>
      <c r="E1262" t="inlineStr">
        <is>
          <t>MX-01</t>
        </is>
      </c>
      <c r="F1262" t="n">
        <v>480</v>
      </c>
      <c r="G1262" t="n">
        <v>13</v>
      </c>
      <c r="H1262" t="inlineStr">
        <is>
          <t>배합 확인</t>
        </is>
      </c>
      <c r="I1262" t="n">
        <v>5</v>
      </c>
      <c r="J1262" t="n">
        <v>5233</v>
      </c>
      <c r="K1262" t="n">
        <v>5197</v>
      </c>
      <c r="L1262" t="inlineStr">
        <is>
          <t>L-0821</t>
        </is>
      </c>
      <c r="M1262">
        <f>F1262-G1262</f>
        <v/>
      </c>
      <c r="N1262" s="2">
        <f>M1262/F1262</f>
        <v/>
      </c>
      <c r="O1262" s="2">
        <f>I1262*J1262/60/M1262</f>
        <v/>
      </c>
      <c r="P1262" s="2">
        <f>K1262/J1262</f>
        <v/>
      </c>
      <c r="Q1262" s="2">
        <f>N1262*O1262*P1262</f>
        <v/>
      </c>
    </row>
    <row r="1263">
      <c r="A1263" t="inlineStr">
        <is>
          <t>2026-08-22</t>
        </is>
      </c>
      <c r="B1263" t="inlineStr">
        <is>
          <t>야간</t>
        </is>
      </c>
      <c r="C1263" t="inlineStr">
        <is>
          <t>P1</t>
        </is>
      </c>
      <c r="D1263" t="inlineStr">
        <is>
          <t>원료혼합</t>
        </is>
      </c>
      <c r="E1263" t="inlineStr">
        <is>
          <t>MX-02</t>
        </is>
      </c>
      <c r="F1263" t="n">
        <v>480</v>
      </c>
      <c r="G1263" t="n">
        <v>27</v>
      </c>
      <c r="H1263" t="inlineStr">
        <is>
          <t>배합 확인</t>
        </is>
      </c>
      <c r="I1263" t="n">
        <v>5</v>
      </c>
      <c r="J1263" t="n">
        <v>5077</v>
      </c>
      <c r="K1263" t="n">
        <v>5037</v>
      </c>
      <c r="L1263" t="inlineStr">
        <is>
          <t>L-0821</t>
        </is>
      </c>
      <c r="M1263">
        <f>F1263-G1263</f>
        <v/>
      </c>
      <c r="N1263" s="2">
        <f>M1263/F1263</f>
        <v/>
      </c>
      <c r="O1263" s="2">
        <f>I1263*J1263/60/M1263</f>
        <v/>
      </c>
      <c r="P1263" s="2">
        <f>K1263/J1263</f>
        <v/>
      </c>
      <c r="Q1263" s="2">
        <f>N1263*O1263*P1263</f>
        <v/>
      </c>
    </row>
    <row r="1264">
      <c r="A1264" t="inlineStr">
        <is>
          <t>2026-08-22</t>
        </is>
      </c>
      <c r="B1264" t="inlineStr">
        <is>
          <t>야간</t>
        </is>
      </c>
      <c r="C1264" t="inlineStr">
        <is>
          <t>P2</t>
        </is>
      </c>
      <c r="D1264" t="inlineStr">
        <is>
          <t>성형</t>
        </is>
      </c>
      <c r="E1264" t="inlineStr">
        <is>
          <t>PR-01</t>
        </is>
      </c>
      <c r="F1264" t="n">
        <v>480</v>
      </c>
      <c r="G1264" t="n">
        <v>33</v>
      </c>
      <c r="H1264" t="inlineStr">
        <is>
          <t>분말 공급 지연</t>
        </is>
      </c>
      <c r="I1264" t="n">
        <v>6</v>
      </c>
      <c r="J1264" t="n">
        <v>3969</v>
      </c>
      <c r="K1264" t="n">
        <v>3925</v>
      </c>
      <c r="L1264" t="inlineStr">
        <is>
          <t>L-0821</t>
        </is>
      </c>
      <c r="M1264">
        <f>F1264-G1264</f>
        <v/>
      </c>
      <c r="N1264" s="2">
        <f>M1264/F1264</f>
        <v/>
      </c>
      <c r="O1264" s="2">
        <f>I1264*J1264/60/M1264</f>
        <v/>
      </c>
      <c r="P1264" s="2">
        <f>K1264/J1264</f>
        <v/>
      </c>
      <c r="Q1264" s="2">
        <f>N1264*O1264*P1264</f>
        <v/>
      </c>
    </row>
    <row r="1265">
      <c r="A1265" t="inlineStr">
        <is>
          <t>2026-08-22</t>
        </is>
      </c>
      <c r="B1265" t="inlineStr">
        <is>
          <t>야간</t>
        </is>
      </c>
      <c r="C1265" t="inlineStr">
        <is>
          <t>P2</t>
        </is>
      </c>
      <c r="D1265" t="inlineStr">
        <is>
          <t>성형</t>
        </is>
      </c>
      <c r="E1265" t="inlineStr">
        <is>
          <t>PR-02</t>
        </is>
      </c>
      <c r="F1265" t="n">
        <v>480</v>
      </c>
      <c r="G1265" t="n">
        <v>22</v>
      </c>
      <c r="H1265" t="inlineStr">
        <is>
          <t>압력 이상</t>
        </is>
      </c>
      <c r="I1265" t="n">
        <v>6</v>
      </c>
      <c r="J1265" t="n">
        <v>4207</v>
      </c>
      <c r="K1265" t="n">
        <v>4160</v>
      </c>
      <c r="L1265" t="inlineStr">
        <is>
          <t>L-0821</t>
        </is>
      </c>
      <c r="M1265">
        <f>F1265-G1265</f>
        <v/>
      </c>
      <c r="N1265" s="2">
        <f>M1265/F1265</f>
        <v/>
      </c>
      <c r="O1265" s="2">
        <f>I1265*J1265/60/M1265</f>
        <v/>
      </c>
      <c r="P1265" s="2">
        <f>K1265/J1265</f>
        <v/>
      </c>
      <c r="Q1265" s="2">
        <f>N1265*O1265*P1265</f>
        <v/>
      </c>
    </row>
    <row r="1266">
      <c r="A1266" t="inlineStr">
        <is>
          <t>2026-08-22</t>
        </is>
      </c>
      <c r="B1266" t="inlineStr">
        <is>
          <t>야간</t>
        </is>
      </c>
      <c r="C1266" t="inlineStr">
        <is>
          <t>P3</t>
        </is>
      </c>
      <c r="D1266" t="inlineStr">
        <is>
          <t>소결</t>
        </is>
      </c>
      <c r="E1266" t="inlineStr">
        <is>
          <t>SF-01</t>
        </is>
      </c>
      <c r="F1266" t="n">
        <v>480</v>
      </c>
      <c r="G1266" t="n">
        <v>98</v>
      </c>
      <c r="H1266" t="inlineStr">
        <is>
          <t>승온 대기</t>
        </is>
      </c>
      <c r="I1266" t="n">
        <v>6.5</v>
      </c>
      <c r="J1266" t="n">
        <v>3300</v>
      </c>
      <c r="K1266" t="n">
        <v>3242</v>
      </c>
      <c r="L1266" t="inlineStr">
        <is>
          <t>L-0821</t>
        </is>
      </c>
      <c r="M1266">
        <f>F1266-G1266</f>
        <v/>
      </c>
      <c r="N1266" s="2">
        <f>M1266/F1266</f>
        <v/>
      </c>
      <c r="O1266" s="2">
        <f>I1266*J1266/60/M1266</f>
        <v/>
      </c>
      <c r="P1266" s="2">
        <f>K1266/J1266</f>
        <v/>
      </c>
      <c r="Q1266" s="2">
        <f>N1266*O1266*P1266</f>
        <v/>
      </c>
    </row>
    <row r="1267">
      <c r="A1267" t="inlineStr">
        <is>
          <t>2026-08-22</t>
        </is>
      </c>
      <c r="B1267" t="inlineStr">
        <is>
          <t>야간</t>
        </is>
      </c>
      <c r="C1267" t="inlineStr">
        <is>
          <t>P3</t>
        </is>
      </c>
      <c r="D1267" t="inlineStr">
        <is>
          <t>소결</t>
        </is>
      </c>
      <c r="E1267" t="inlineStr">
        <is>
          <t>SF-02</t>
        </is>
      </c>
      <c r="F1267" t="n">
        <v>480</v>
      </c>
      <c r="G1267" t="n">
        <v>89</v>
      </c>
      <c r="H1267" t="inlineStr">
        <is>
          <t>재가열</t>
        </is>
      </c>
      <c r="I1267" t="n">
        <v>6.5</v>
      </c>
      <c r="J1267" t="n">
        <v>3186</v>
      </c>
      <c r="K1267" t="n">
        <v>2982</v>
      </c>
      <c r="L1267" t="inlineStr">
        <is>
          <t>L-0821</t>
        </is>
      </c>
      <c r="M1267">
        <f>F1267-G1267</f>
        <v/>
      </c>
      <c r="N1267" s="2">
        <f>M1267/F1267</f>
        <v/>
      </c>
      <c r="O1267" s="2">
        <f>I1267*J1267/60/M1267</f>
        <v/>
      </c>
      <c r="P1267" s="2">
        <f>K1267/J1267</f>
        <v/>
      </c>
      <c r="Q1267" s="2">
        <f>N1267*O1267*P1267</f>
        <v/>
      </c>
    </row>
    <row r="1268">
      <c r="A1268" t="inlineStr">
        <is>
          <t>2026-08-22</t>
        </is>
      </c>
      <c r="B1268" t="inlineStr">
        <is>
          <t>야간</t>
        </is>
      </c>
      <c r="C1268" t="inlineStr">
        <is>
          <t>P4</t>
        </is>
      </c>
      <c r="D1268" t="inlineStr">
        <is>
          <t>연삭</t>
        </is>
      </c>
      <c r="E1268" t="inlineStr">
        <is>
          <t>GR-01</t>
        </is>
      </c>
      <c r="F1268" t="n">
        <v>480</v>
      </c>
      <c r="G1268" t="n">
        <v>96</v>
      </c>
      <c r="H1268" t="inlineStr">
        <is>
          <t>공구 교체</t>
        </is>
      </c>
      <c r="I1268" t="n">
        <v>6.2</v>
      </c>
      <c r="J1268" t="n">
        <v>3487</v>
      </c>
      <c r="K1268" t="n">
        <v>3446</v>
      </c>
      <c r="L1268" t="inlineStr">
        <is>
          <t>L-0821</t>
        </is>
      </c>
      <c r="M1268">
        <f>F1268-G1268</f>
        <v/>
      </c>
      <c r="N1268" s="2">
        <f>M1268/F1268</f>
        <v/>
      </c>
      <c r="O1268" s="2">
        <f>I1268*J1268/60/M1268</f>
        <v/>
      </c>
      <c r="P1268" s="2">
        <f>K1268/J1268</f>
        <v/>
      </c>
      <c r="Q1268" s="2">
        <f>N1268*O1268*P1268</f>
        <v/>
      </c>
    </row>
    <row r="1269">
      <c r="A1269" t="inlineStr">
        <is>
          <t>2026-08-22</t>
        </is>
      </c>
      <c r="B1269" t="inlineStr">
        <is>
          <t>야간</t>
        </is>
      </c>
      <c r="C1269" t="inlineStr">
        <is>
          <t>P4</t>
        </is>
      </c>
      <c r="D1269" t="inlineStr">
        <is>
          <t>연삭</t>
        </is>
      </c>
      <c r="E1269" t="inlineStr">
        <is>
          <t>GR-02</t>
        </is>
      </c>
      <c r="F1269" t="n">
        <v>480</v>
      </c>
      <c r="G1269" t="n">
        <v>71</v>
      </c>
      <c r="H1269" t="inlineStr">
        <is>
          <t>공구 교체</t>
        </is>
      </c>
      <c r="I1269" t="n">
        <v>6.2</v>
      </c>
      <c r="J1269" t="n">
        <v>3643</v>
      </c>
      <c r="K1269" t="n">
        <v>3602</v>
      </c>
      <c r="L1269" t="inlineStr">
        <is>
          <t>L-0821</t>
        </is>
      </c>
      <c r="M1269">
        <f>F1269-G1269</f>
        <v/>
      </c>
      <c r="N1269" s="2">
        <f>M1269/F1269</f>
        <v/>
      </c>
      <c r="O1269" s="2">
        <f>I1269*J1269/60/M1269</f>
        <v/>
      </c>
      <c r="P1269" s="2">
        <f>K1269/J1269</f>
        <v/>
      </c>
      <c r="Q1269" s="2">
        <f>N1269*O1269*P1269</f>
        <v/>
      </c>
    </row>
    <row r="1270">
      <c r="A1270" t="inlineStr">
        <is>
          <t>2026-08-22</t>
        </is>
      </c>
      <c r="B1270" t="inlineStr">
        <is>
          <t>야간</t>
        </is>
      </c>
      <c r="C1270" t="inlineStr">
        <is>
          <t>P5</t>
        </is>
      </c>
      <c r="D1270" t="inlineStr">
        <is>
          <t>검사</t>
        </is>
      </c>
      <c r="E1270" t="inlineStr">
        <is>
          <t>IN-01</t>
        </is>
      </c>
      <c r="F1270" t="n">
        <v>480</v>
      </c>
      <c r="G1270" t="n">
        <v>30</v>
      </c>
      <c r="H1270" t="inlineStr">
        <is>
          <t>측정기 교정</t>
        </is>
      </c>
      <c r="I1270" t="n">
        <v>5.5</v>
      </c>
      <c r="J1270" t="n">
        <v>4613</v>
      </c>
      <c r="K1270" t="n">
        <v>4595</v>
      </c>
      <c r="L1270" t="inlineStr">
        <is>
          <t>L-0821</t>
        </is>
      </c>
      <c r="M1270">
        <f>F1270-G1270</f>
        <v/>
      </c>
      <c r="N1270" s="2">
        <f>M1270/F1270</f>
        <v/>
      </c>
      <c r="O1270" s="2">
        <f>I1270*J1270/60/M1270</f>
        <v/>
      </c>
      <c r="P1270" s="2">
        <f>K1270/J1270</f>
        <v/>
      </c>
      <c r="Q1270" s="2">
        <f>N1270*O1270*P1270</f>
        <v/>
      </c>
    </row>
    <row r="1271">
      <c r="A1271" t="inlineStr">
        <is>
          <t>2026-08-22</t>
        </is>
      </c>
      <c r="B1271" t="inlineStr">
        <is>
          <t>야간</t>
        </is>
      </c>
      <c r="C1271" t="inlineStr">
        <is>
          <t>P5</t>
        </is>
      </c>
      <c r="D1271" t="inlineStr">
        <is>
          <t>검사</t>
        </is>
      </c>
      <c r="E1271" t="inlineStr">
        <is>
          <t>IN-02</t>
        </is>
      </c>
      <c r="F1271" t="n">
        <v>480</v>
      </c>
      <c r="G1271" t="n">
        <v>8</v>
      </c>
      <c r="H1271" t="inlineStr">
        <is>
          <t>측정기 교정</t>
        </is>
      </c>
      <c r="I1271" t="n">
        <v>5.5</v>
      </c>
      <c r="J1271" t="n">
        <v>4769</v>
      </c>
      <c r="K1271" t="n">
        <v>4748</v>
      </c>
      <c r="L1271" t="inlineStr">
        <is>
          <t>L-0821</t>
        </is>
      </c>
      <c r="M1271">
        <f>F1271-G1271</f>
        <v/>
      </c>
      <c r="N1271" s="2">
        <f>M1271/F1271</f>
        <v/>
      </c>
      <c r="O1271" s="2">
        <f>I1271*J1271/60/M1271</f>
        <v/>
      </c>
      <c r="P1271" s="2">
        <f>K1271/J1271</f>
        <v/>
      </c>
      <c r="Q1271" s="2">
        <f>N1271*O1271*P1271</f>
        <v/>
      </c>
    </row>
    <row r="1272">
      <c r="A1272" t="inlineStr">
        <is>
          <t>2026-08-22</t>
        </is>
      </c>
      <c r="B1272" t="inlineStr">
        <is>
          <t>야간</t>
        </is>
      </c>
      <c r="C1272" t="inlineStr">
        <is>
          <t>P6</t>
        </is>
      </c>
      <c r="D1272" t="inlineStr">
        <is>
          <t>포장</t>
        </is>
      </c>
      <c r="E1272" t="inlineStr">
        <is>
          <t>PK-01</t>
        </is>
      </c>
      <c r="F1272" t="n">
        <v>480</v>
      </c>
      <c r="G1272" t="n">
        <v>28</v>
      </c>
      <c r="H1272" t="inlineStr">
        <is>
          <t>자재 대기</t>
        </is>
      </c>
      <c r="I1272" t="n">
        <v>4.8</v>
      </c>
      <c r="J1272" t="n">
        <v>5155</v>
      </c>
      <c r="K1272" t="n">
        <v>5139</v>
      </c>
      <c r="L1272" t="inlineStr">
        <is>
          <t>L-0821</t>
        </is>
      </c>
      <c r="M1272">
        <f>F1272-G1272</f>
        <v/>
      </c>
      <c r="N1272" s="2">
        <f>M1272/F1272</f>
        <v/>
      </c>
      <c r="O1272" s="2">
        <f>I1272*J1272/60/M1272</f>
        <v/>
      </c>
      <c r="P1272" s="2">
        <f>K1272/J1272</f>
        <v/>
      </c>
      <c r="Q1272" s="2">
        <f>N1272*O1272*P1272</f>
        <v/>
      </c>
    </row>
    <row r="1273">
      <c r="A1273" t="inlineStr">
        <is>
          <t>2026-08-22</t>
        </is>
      </c>
      <c r="B1273" t="inlineStr">
        <is>
          <t>야간</t>
        </is>
      </c>
      <c r="C1273" t="inlineStr">
        <is>
          <t>P6</t>
        </is>
      </c>
      <c r="D1273" t="inlineStr">
        <is>
          <t>포장</t>
        </is>
      </c>
      <c r="E1273" t="inlineStr">
        <is>
          <t>PK-02</t>
        </is>
      </c>
      <c r="F1273" t="n">
        <v>480</v>
      </c>
      <c r="G1273" t="n">
        <v>35</v>
      </c>
      <c r="H1273" t="inlineStr">
        <is>
          <t>자재 대기</t>
        </is>
      </c>
      <c r="I1273" t="n">
        <v>4.8</v>
      </c>
      <c r="J1273" t="n">
        <v>5187</v>
      </c>
      <c r="K1273" t="n">
        <v>5174</v>
      </c>
      <c r="L1273" t="inlineStr">
        <is>
          <t>L-0821</t>
        </is>
      </c>
      <c r="M1273">
        <f>F1273-G1273</f>
        <v/>
      </c>
      <c r="N1273" s="2">
        <f>M1273/F1273</f>
        <v/>
      </c>
      <c r="O1273" s="2">
        <f>I1273*J1273/60/M1273</f>
        <v/>
      </c>
      <c r="P1273" s="2">
        <f>K1273/J1273</f>
        <v/>
      </c>
      <c r="Q1273" s="2">
        <f>N1273*O1273*P1273</f>
        <v/>
      </c>
    </row>
    <row r="1274">
      <c r="A1274" t="inlineStr">
        <is>
          <t>2026-08-23</t>
        </is>
      </c>
      <c r="B1274" t="inlineStr">
        <is>
          <t>주간</t>
        </is>
      </c>
      <c r="C1274" t="inlineStr">
        <is>
          <t>P1</t>
        </is>
      </c>
      <c r="D1274" t="inlineStr">
        <is>
          <t>원료혼합</t>
        </is>
      </c>
      <c r="E1274" t="inlineStr">
        <is>
          <t>MX-01</t>
        </is>
      </c>
      <c r="F1274" t="n">
        <v>480</v>
      </c>
      <c r="G1274" t="n">
        <v>13</v>
      </c>
      <c r="H1274" t="inlineStr">
        <is>
          <t>청소</t>
        </is>
      </c>
      <c r="I1274" t="n">
        <v>5</v>
      </c>
      <c r="J1274" t="n">
        <v>5134</v>
      </c>
      <c r="K1274" t="n">
        <v>5102</v>
      </c>
      <c r="L1274" t="inlineStr">
        <is>
          <t>L-0821</t>
        </is>
      </c>
      <c r="M1274">
        <f>F1274-G1274</f>
        <v/>
      </c>
      <c r="N1274" s="2">
        <f>M1274/F1274</f>
        <v/>
      </c>
      <c r="O1274" s="2">
        <f>I1274*J1274/60/M1274</f>
        <v/>
      </c>
      <c r="P1274" s="2">
        <f>K1274/J1274</f>
        <v/>
      </c>
      <c r="Q1274" s="2">
        <f>N1274*O1274*P1274</f>
        <v/>
      </c>
    </row>
    <row r="1275">
      <c r="A1275" t="inlineStr">
        <is>
          <t>2026-08-23</t>
        </is>
      </c>
      <c r="B1275" t="inlineStr">
        <is>
          <t>주간</t>
        </is>
      </c>
      <c r="C1275" t="inlineStr">
        <is>
          <t>P1</t>
        </is>
      </c>
      <c r="D1275" t="inlineStr">
        <is>
          <t>원료혼합</t>
        </is>
      </c>
      <c r="E1275" t="inlineStr">
        <is>
          <t>MX-02</t>
        </is>
      </c>
      <c r="F1275" t="n">
        <v>480</v>
      </c>
      <c r="G1275" t="n">
        <v>43</v>
      </c>
      <c r="H1275" t="inlineStr">
        <is>
          <t>청소</t>
        </is>
      </c>
      <c r="I1275" t="n">
        <v>5</v>
      </c>
      <c r="J1275" t="n">
        <v>4813</v>
      </c>
      <c r="K1275" t="n">
        <v>4785</v>
      </c>
      <c r="L1275" t="inlineStr">
        <is>
          <t>L-0821</t>
        </is>
      </c>
      <c r="M1275">
        <f>F1275-G1275</f>
        <v/>
      </c>
      <c r="N1275" s="2">
        <f>M1275/F1275</f>
        <v/>
      </c>
      <c r="O1275" s="2">
        <f>I1275*J1275/60/M1275</f>
        <v/>
      </c>
      <c r="P1275" s="2">
        <f>K1275/J1275</f>
        <v/>
      </c>
      <c r="Q1275" s="2">
        <f>N1275*O1275*P1275</f>
        <v/>
      </c>
    </row>
    <row r="1276">
      <c r="A1276" t="inlineStr">
        <is>
          <t>2026-08-23</t>
        </is>
      </c>
      <c r="B1276" t="inlineStr">
        <is>
          <t>주간</t>
        </is>
      </c>
      <c r="C1276" t="inlineStr">
        <is>
          <t>P2</t>
        </is>
      </c>
      <c r="D1276" t="inlineStr">
        <is>
          <t>성형</t>
        </is>
      </c>
      <c r="E1276" t="inlineStr">
        <is>
          <t>PR-01</t>
        </is>
      </c>
      <c r="F1276" t="n">
        <v>480</v>
      </c>
      <c r="G1276" t="n">
        <v>13</v>
      </c>
      <c r="H1276" t="inlineStr">
        <is>
          <t>압력 이상</t>
        </is>
      </c>
      <c r="I1276" t="n">
        <v>6</v>
      </c>
      <c r="J1276" t="n">
        <v>4216</v>
      </c>
      <c r="K1276" t="n">
        <v>4168</v>
      </c>
      <c r="L1276" t="inlineStr">
        <is>
          <t>L-0821</t>
        </is>
      </c>
      <c r="M1276">
        <f>F1276-G1276</f>
        <v/>
      </c>
      <c r="N1276" s="2">
        <f>M1276/F1276</f>
        <v/>
      </c>
      <c r="O1276" s="2">
        <f>I1276*J1276/60/M1276</f>
        <v/>
      </c>
      <c r="P1276" s="2">
        <f>K1276/J1276</f>
        <v/>
      </c>
      <c r="Q1276" s="2">
        <f>N1276*O1276*P1276</f>
        <v/>
      </c>
    </row>
    <row r="1277">
      <c r="A1277" t="inlineStr">
        <is>
          <t>2026-08-23</t>
        </is>
      </c>
      <c r="B1277" t="inlineStr">
        <is>
          <t>주간</t>
        </is>
      </c>
      <c r="C1277" t="inlineStr">
        <is>
          <t>P2</t>
        </is>
      </c>
      <c r="D1277" t="inlineStr">
        <is>
          <t>성형</t>
        </is>
      </c>
      <c r="E1277" t="inlineStr">
        <is>
          <t>PR-02</t>
        </is>
      </c>
      <c r="F1277" t="n">
        <v>480</v>
      </c>
      <c r="G1277" t="n">
        <v>22</v>
      </c>
      <c r="H1277" t="inlineStr">
        <is>
          <t>압력 이상</t>
        </is>
      </c>
      <c r="I1277" t="n">
        <v>6</v>
      </c>
      <c r="J1277" t="n">
        <v>4152</v>
      </c>
      <c r="K1277" t="n">
        <v>4094</v>
      </c>
      <c r="L1277" t="inlineStr">
        <is>
          <t>L-0821</t>
        </is>
      </c>
      <c r="M1277">
        <f>F1277-G1277</f>
        <v/>
      </c>
      <c r="N1277" s="2">
        <f>M1277/F1277</f>
        <v/>
      </c>
      <c r="O1277" s="2">
        <f>I1277*J1277/60/M1277</f>
        <v/>
      </c>
      <c r="P1277" s="2">
        <f>K1277/J1277</f>
        <v/>
      </c>
      <c r="Q1277" s="2">
        <f>N1277*O1277*P1277</f>
        <v/>
      </c>
    </row>
    <row r="1278">
      <c r="A1278" t="inlineStr">
        <is>
          <t>2026-08-23</t>
        </is>
      </c>
      <c r="B1278" t="inlineStr">
        <is>
          <t>주간</t>
        </is>
      </c>
      <c r="C1278" t="inlineStr">
        <is>
          <t>P3</t>
        </is>
      </c>
      <c r="D1278" t="inlineStr">
        <is>
          <t>소결</t>
        </is>
      </c>
      <c r="E1278" t="inlineStr">
        <is>
          <t>SF-01</t>
        </is>
      </c>
      <c r="F1278" t="n">
        <v>480</v>
      </c>
      <c r="G1278" t="n">
        <v>56</v>
      </c>
      <c r="H1278" t="inlineStr">
        <is>
          <t>재가열</t>
        </is>
      </c>
      <c r="I1278" t="n">
        <v>6.5</v>
      </c>
      <c r="J1278" t="n">
        <v>3716</v>
      </c>
      <c r="K1278" t="n">
        <v>3643</v>
      </c>
      <c r="L1278" t="inlineStr">
        <is>
          <t>L-0821</t>
        </is>
      </c>
      <c r="M1278">
        <f>F1278-G1278</f>
        <v/>
      </c>
      <c r="N1278" s="2">
        <f>M1278/F1278</f>
        <v/>
      </c>
      <c r="O1278" s="2">
        <f>I1278*J1278/60/M1278</f>
        <v/>
      </c>
      <c r="P1278" s="2">
        <f>K1278/J1278</f>
        <v/>
      </c>
      <c r="Q1278" s="2">
        <f>N1278*O1278*P1278</f>
        <v/>
      </c>
    </row>
    <row r="1279">
      <c r="A1279" t="inlineStr">
        <is>
          <t>2026-08-23</t>
        </is>
      </c>
      <c r="B1279" t="inlineStr">
        <is>
          <t>주간</t>
        </is>
      </c>
      <c r="C1279" t="inlineStr">
        <is>
          <t>P3</t>
        </is>
      </c>
      <c r="D1279" t="inlineStr">
        <is>
          <t>소결</t>
        </is>
      </c>
      <c r="E1279" t="inlineStr">
        <is>
          <t>SF-02</t>
        </is>
      </c>
      <c r="F1279" t="n">
        <v>480</v>
      </c>
      <c r="G1279" t="n">
        <v>62</v>
      </c>
      <c r="H1279" t="inlineStr">
        <is>
          <t>온도 이상 정지</t>
        </is>
      </c>
      <c r="I1279" t="n">
        <v>6.5</v>
      </c>
      <c r="J1279" t="n">
        <v>3235</v>
      </c>
      <c r="K1279" t="n">
        <v>3050</v>
      </c>
      <c r="L1279" t="inlineStr">
        <is>
          <t>L-0821</t>
        </is>
      </c>
      <c r="M1279">
        <f>F1279-G1279</f>
        <v/>
      </c>
      <c r="N1279" s="2">
        <f>M1279/F1279</f>
        <v/>
      </c>
      <c r="O1279" s="2">
        <f>I1279*J1279/60/M1279</f>
        <v/>
      </c>
      <c r="P1279" s="2">
        <f>K1279/J1279</f>
        <v/>
      </c>
      <c r="Q1279" s="2">
        <f>N1279*O1279*P1279</f>
        <v/>
      </c>
    </row>
    <row r="1280">
      <c r="A1280" t="inlineStr">
        <is>
          <t>2026-08-23</t>
        </is>
      </c>
      <c r="B1280" t="inlineStr">
        <is>
          <t>주간</t>
        </is>
      </c>
      <c r="C1280" t="inlineStr">
        <is>
          <t>P4</t>
        </is>
      </c>
      <c r="D1280" t="inlineStr">
        <is>
          <t>연삭</t>
        </is>
      </c>
      <c r="E1280" t="inlineStr">
        <is>
          <t>GR-01</t>
        </is>
      </c>
      <c r="F1280" t="n">
        <v>480</v>
      </c>
      <c r="G1280" t="n">
        <v>61</v>
      </c>
      <c r="H1280" t="inlineStr">
        <is>
          <t>공구 교체</t>
        </is>
      </c>
      <c r="I1280" t="n">
        <v>6.2</v>
      </c>
      <c r="J1280" t="n">
        <v>3671</v>
      </c>
      <c r="K1280" t="n">
        <v>3632</v>
      </c>
      <c r="L1280" t="inlineStr">
        <is>
          <t>L-0821</t>
        </is>
      </c>
      <c r="M1280">
        <f>F1280-G1280</f>
        <v/>
      </c>
      <c r="N1280" s="2">
        <f>M1280/F1280</f>
        <v/>
      </c>
      <c r="O1280" s="2">
        <f>I1280*J1280/60/M1280</f>
        <v/>
      </c>
      <c r="P1280" s="2">
        <f>K1280/J1280</f>
        <v/>
      </c>
      <c r="Q1280" s="2">
        <f>N1280*O1280*P1280</f>
        <v/>
      </c>
    </row>
    <row r="1281">
      <c r="A1281" t="inlineStr">
        <is>
          <t>2026-08-23</t>
        </is>
      </c>
      <c r="B1281" t="inlineStr">
        <is>
          <t>주간</t>
        </is>
      </c>
      <c r="C1281" t="inlineStr">
        <is>
          <t>P4</t>
        </is>
      </c>
      <c r="D1281" t="inlineStr">
        <is>
          <t>연삭</t>
        </is>
      </c>
      <c r="E1281" t="inlineStr">
        <is>
          <t>GR-02</t>
        </is>
      </c>
      <c r="F1281" t="n">
        <v>480</v>
      </c>
      <c r="G1281" t="n">
        <v>70</v>
      </c>
      <c r="H1281" t="inlineStr">
        <is>
          <t>드레싱</t>
        </is>
      </c>
      <c r="I1281" t="n">
        <v>6.2</v>
      </c>
      <c r="J1281" t="n">
        <v>3607</v>
      </c>
      <c r="K1281" t="n">
        <v>3567</v>
      </c>
      <c r="L1281" t="inlineStr">
        <is>
          <t>L-0821</t>
        </is>
      </c>
      <c r="M1281">
        <f>F1281-G1281</f>
        <v/>
      </c>
      <c r="N1281" s="2">
        <f>M1281/F1281</f>
        <v/>
      </c>
      <c r="O1281" s="2">
        <f>I1281*J1281/60/M1281</f>
        <v/>
      </c>
      <c r="P1281" s="2">
        <f>K1281/J1281</f>
        <v/>
      </c>
      <c r="Q1281" s="2">
        <f>N1281*O1281*P1281</f>
        <v/>
      </c>
    </row>
    <row r="1282">
      <c r="A1282" t="inlineStr">
        <is>
          <t>2026-08-23</t>
        </is>
      </c>
      <c r="B1282" t="inlineStr">
        <is>
          <t>주간</t>
        </is>
      </c>
      <c r="C1282" t="inlineStr">
        <is>
          <t>P5</t>
        </is>
      </c>
      <c r="D1282" t="inlineStr">
        <is>
          <t>검사</t>
        </is>
      </c>
      <c r="E1282" t="inlineStr">
        <is>
          <t>IN-01</t>
        </is>
      </c>
      <c r="F1282" t="n">
        <v>480</v>
      </c>
      <c r="G1282" t="n">
        <v>32</v>
      </c>
      <c r="H1282" t="inlineStr">
        <is>
          <t>측정기 교정</t>
        </is>
      </c>
      <c r="I1282" t="n">
        <v>5.5</v>
      </c>
      <c r="J1282" t="n">
        <v>4742</v>
      </c>
      <c r="K1282" t="n">
        <v>4729</v>
      </c>
      <c r="L1282" t="inlineStr">
        <is>
          <t>L-0821</t>
        </is>
      </c>
      <c r="M1282">
        <f>F1282-G1282</f>
        <v/>
      </c>
      <c r="N1282" s="2">
        <f>M1282/F1282</f>
        <v/>
      </c>
      <c r="O1282" s="2">
        <f>I1282*J1282/60/M1282</f>
        <v/>
      </c>
      <c r="P1282" s="2">
        <f>K1282/J1282</f>
        <v/>
      </c>
      <c r="Q1282" s="2">
        <f>N1282*O1282*P1282</f>
        <v/>
      </c>
    </row>
    <row r="1283">
      <c r="A1283" t="inlineStr">
        <is>
          <t>2026-08-23</t>
        </is>
      </c>
      <c r="B1283" t="inlineStr">
        <is>
          <t>주간</t>
        </is>
      </c>
      <c r="C1283" t="inlineStr">
        <is>
          <t>P5</t>
        </is>
      </c>
      <c r="D1283" t="inlineStr">
        <is>
          <t>검사</t>
        </is>
      </c>
      <c r="E1283" t="inlineStr">
        <is>
          <t>IN-02</t>
        </is>
      </c>
      <c r="F1283" t="n">
        <v>480</v>
      </c>
      <c r="G1283" t="n">
        <v>14</v>
      </c>
      <c r="H1283" t="inlineStr">
        <is>
          <t>샘플 재검</t>
        </is>
      </c>
      <c r="I1283" t="n">
        <v>5.5</v>
      </c>
      <c r="J1283" t="n">
        <v>4645</v>
      </c>
      <c r="K1283" t="n">
        <v>4629</v>
      </c>
      <c r="L1283" t="inlineStr">
        <is>
          <t>L-0821</t>
        </is>
      </c>
      <c r="M1283">
        <f>F1283-G1283</f>
        <v/>
      </c>
      <c r="N1283" s="2">
        <f>M1283/F1283</f>
        <v/>
      </c>
      <c r="O1283" s="2">
        <f>I1283*J1283/60/M1283</f>
        <v/>
      </c>
      <c r="P1283" s="2">
        <f>K1283/J1283</f>
        <v/>
      </c>
      <c r="Q1283" s="2">
        <f>N1283*O1283*P1283</f>
        <v/>
      </c>
    </row>
    <row r="1284">
      <c r="A1284" t="inlineStr">
        <is>
          <t>2026-08-23</t>
        </is>
      </c>
      <c r="B1284" t="inlineStr">
        <is>
          <t>주간</t>
        </is>
      </c>
      <c r="C1284" t="inlineStr">
        <is>
          <t>P6</t>
        </is>
      </c>
      <c r="D1284" t="inlineStr">
        <is>
          <t>포장</t>
        </is>
      </c>
      <c r="E1284" t="inlineStr">
        <is>
          <t>PK-01</t>
        </is>
      </c>
      <c r="F1284" t="n">
        <v>480</v>
      </c>
      <c r="G1284" t="n">
        <v>18</v>
      </c>
      <c r="H1284" t="inlineStr">
        <is>
          <t>라벨 교체</t>
        </is>
      </c>
      <c r="I1284" t="n">
        <v>4.8</v>
      </c>
      <c r="J1284" t="n">
        <v>5404</v>
      </c>
      <c r="K1284" t="n">
        <v>5395</v>
      </c>
      <c r="L1284" t="inlineStr">
        <is>
          <t>L-0821</t>
        </is>
      </c>
      <c r="M1284">
        <f>F1284-G1284</f>
        <v/>
      </c>
      <c r="N1284" s="2">
        <f>M1284/F1284</f>
        <v/>
      </c>
      <c r="O1284" s="2">
        <f>I1284*J1284/60/M1284</f>
        <v/>
      </c>
      <c r="P1284" s="2">
        <f>K1284/J1284</f>
        <v/>
      </c>
      <c r="Q1284" s="2">
        <f>N1284*O1284*P1284</f>
        <v/>
      </c>
    </row>
    <row r="1285">
      <c r="A1285" t="inlineStr">
        <is>
          <t>2026-08-23</t>
        </is>
      </c>
      <c r="B1285" t="inlineStr">
        <is>
          <t>주간</t>
        </is>
      </c>
      <c r="C1285" t="inlineStr">
        <is>
          <t>P6</t>
        </is>
      </c>
      <c r="D1285" t="inlineStr">
        <is>
          <t>포장</t>
        </is>
      </c>
      <c r="E1285" t="inlineStr">
        <is>
          <t>PK-02</t>
        </is>
      </c>
      <c r="F1285" t="n">
        <v>480</v>
      </c>
      <c r="G1285" t="n">
        <v>22</v>
      </c>
      <c r="H1285" t="inlineStr">
        <is>
          <t>라벨 교체</t>
        </is>
      </c>
      <c r="I1285" t="n">
        <v>4.8</v>
      </c>
      <c r="J1285" t="n">
        <v>5398</v>
      </c>
      <c r="K1285" t="n">
        <v>5388</v>
      </c>
      <c r="L1285" t="inlineStr">
        <is>
          <t>L-0821</t>
        </is>
      </c>
      <c r="M1285">
        <f>F1285-G1285</f>
        <v/>
      </c>
      <c r="N1285" s="2">
        <f>M1285/F1285</f>
        <v/>
      </c>
      <c r="O1285" s="2">
        <f>I1285*J1285/60/M1285</f>
        <v/>
      </c>
      <c r="P1285" s="2">
        <f>K1285/J1285</f>
        <v/>
      </c>
      <c r="Q1285" s="2">
        <f>N1285*O1285*P1285</f>
        <v/>
      </c>
    </row>
    <row r="1286">
      <c r="A1286" t="inlineStr">
        <is>
          <t>2026-08-23</t>
        </is>
      </c>
      <c r="B1286" t="inlineStr">
        <is>
          <t>야간</t>
        </is>
      </c>
      <c r="C1286" t="inlineStr">
        <is>
          <t>P1</t>
        </is>
      </c>
      <c r="D1286" t="inlineStr">
        <is>
          <t>원료혼합</t>
        </is>
      </c>
      <c r="E1286" t="inlineStr">
        <is>
          <t>MX-01</t>
        </is>
      </c>
      <c r="F1286" t="n">
        <v>480</v>
      </c>
      <c r="G1286" t="n">
        <v>35</v>
      </c>
      <c r="H1286" t="inlineStr">
        <is>
          <t>배합 확인</t>
        </is>
      </c>
      <c r="I1286" t="n">
        <v>5</v>
      </c>
      <c r="J1286" t="n">
        <v>4965</v>
      </c>
      <c r="K1286" t="n">
        <v>4922</v>
      </c>
      <c r="L1286" t="inlineStr">
        <is>
          <t>L-0821</t>
        </is>
      </c>
      <c r="M1286">
        <f>F1286-G1286</f>
        <v/>
      </c>
      <c r="N1286" s="2">
        <f>M1286/F1286</f>
        <v/>
      </c>
      <c r="O1286" s="2">
        <f>I1286*J1286/60/M1286</f>
        <v/>
      </c>
      <c r="P1286" s="2">
        <f>K1286/J1286</f>
        <v/>
      </c>
      <c r="Q1286" s="2">
        <f>N1286*O1286*P1286</f>
        <v/>
      </c>
    </row>
    <row r="1287">
      <c r="A1287" t="inlineStr">
        <is>
          <t>2026-08-23</t>
        </is>
      </c>
      <c r="B1287" t="inlineStr">
        <is>
          <t>야간</t>
        </is>
      </c>
      <c r="C1287" t="inlineStr">
        <is>
          <t>P1</t>
        </is>
      </c>
      <c r="D1287" t="inlineStr">
        <is>
          <t>원료혼합</t>
        </is>
      </c>
      <c r="E1287" t="inlineStr">
        <is>
          <t>MX-02</t>
        </is>
      </c>
      <c r="F1287" t="n">
        <v>480</v>
      </c>
      <c r="G1287" t="n">
        <v>4</v>
      </c>
      <c r="H1287" t="inlineStr">
        <is>
          <t>배합 확인</t>
        </is>
      </c>
      <c r="I1287" t="n">
        <v>5</v>
      </c>
      <c r="J1287" t="n">
        <v>5246</v>
      </c>
      <c r="K1287" t="n">
        <v>5201</v>
      </c>
      <c r="L1287" t="inlineStr">
        <is>
          <t>L-0821</t>
        </is>
      </c>
      <c r="M1287">
        <f>F1287-G1287</f>
        <v/>
      </c>
      <c r="N1287" s="2">
        <f>M1287/F1287</f>
        <v/>
      </c>
      <c r="O1287" s="2">
        <f>I1287*J1287/60/M1287</f>
        <v/>
      </c>
      <c r="P1287" s="2">
        <f>K1287/J1287</f>
        <v/>
      </c>
      <c r="Q1287" s="2">
        <f>N1287*O1287*P1287</f>
        <v/>
      </c>
    </row>
    <row r="1288">
      <c r="A1288" t="inlineStr">
        <is>
          <t>2026-08-23</t>
        </is>
      </c>
      <c r="B1288" t="inlineStr">
        <is>
          <t>야간</t>
        </is>
      </c>
      <c r="C1288" t="inlineStr">
        <is>
          <t>P2</t>
        </is>
      </c>
      <c r="D1288" t="inlineStr">
        <is>
          <t>성형</t>
        </is>
      </c>
      <c r="E1288" t="inlineStr">
        <is>
          <t>PR-01</t>
        </is>
      </c>
      <c r="F1288" t="n">
        <v>480</v>
      </c>
      <c r="G1288" t="n">
        <v>14</v>
      </c>
      <c r="H1288" t="inlineStr">
        <is>
          <t>분말 공급 지연</t>
        </is>
      </c>
      <c r="I1288" t="n">
        <v>6</v>
      </c>
      <c r="J1288" t="n">
        <v>4513</v>
      </c>
      <c r="K1288" t="n">
        <v>4456</v>
      </c>
      <c r="L1288" t="inlineStr">
        <is>
          <t>L-0821</t>
        </is>
      </c>
      <c r="M1288">
        <f>F1288-G1288</f>
        <v/>
      </c>
      <c r="N1288" s="2">
        <f>M1288/F1288</f>
        <v/>
      </c>
      <c r="O1288" s="2">
        <f>I1288*J1288/60/M1288</f>
        <v/>
      </c>
      <c r="P1288" s="2">
        <f>K1288/J1288</f>
        <v/>
      </c>
      <c r="Q1288" s="2">
        <f>N1288*O1288*P1288</f>
        <v/>
      </c>
    </row>
    <row r="1289">
      <c r="A1289" t="inlineStr">
        <is>
          <t>2026-08-23</t>
        </is>
      </c>
      <c r="B1289" t="inlineStr">
        <is>
          <t>야간</t>
        </is>
      </c>
      <c r="C1289" t="inlineStr">
        <is>
          <t>P2</t>
        </is>
      </c>
      <c r="D1289" t="inlineStr">
        <is>
          <t>성형</t>
        </is>
      </c>
      <c r="E1289" t="inlineStr">
        <is>
          <t>PR-02</t>
        </is>
      </c>
      <c r="F1289" t="n">
        <v>480</v>
      </c>
      <c r="G1289" t="n">
        <v>31</v>
      </c>
      <c r="H1289" t="inlineStr">
        <is>
          <t>금형 교체</t>
        </is>
      </c>
      <c r="I1289" t="n">
        <v>6</v>
      </c>
      <c r="J1289" t="n">
        <v>4121</v>
      </c>
      <c r="K1289" t="n">
        <v>4069</v>
      </c>
      <c r="L1289" t="inlineStr">
        <is>
          <t>L-0821</t>
        </is>
      </c>
      <c r="M1289">
        <f>F1289-G1289</f>
        <v/>
      </c>
      <c r="N1289" s="2">
        <f>M1289/F1289</f>
        <v/>
      </c>
      <c r="O1289" s="2">
        <f>I1289*J1289/60/M1289</f>
        <v/>
      </c>
      <c r="P1289" s="2">
        <f>K1289/J1289</f>
        <v/>
      </c>
      <c r="Q1289" s="2">
        <f>N1289*O1289*P1289</f>
        <v/>
      </c>
    </row>
    <row r="1290">
      <c r="A1290" t="inlineStr">
        <is>
          <t>2026-08-23</t>
        </is>
      </c>
      <c r="B1290" t="inlineStr">
        <is>
          <t>야간</t>
        </is>
      </c>
      <c r="C1290" t="inlineStr">
        <is>
          <t>P3</t>
        </is>
      </c>
      <c r="D1290" t="inlineStr">
        <is>
          <t>소결</t>
        </is>
      </c>
      <c r="E1290" t="inlineStr">
        <is>
          <t>SF-01</t>
        </is>
      </c>
      <c r="F1290" t="n">
        <v>480</v>
      </c>
      <c r="G1290" t="n">
        <v>51</v>
      </c>
      <c r="H1290" t="inlineStr">
        <is>
          <t>장입 대기</t>
        </is>
      </c>
      <c r="I1290" t="n">
        <v>6.5</v>
      </c>
      <c r="J1290" t="n">
        <v>3662</v>
      </c>
      <c r="K1290" t="n">
        <v>3576</v>
      </c>
      <c r="L1290" t="inlineStr">
        <is>
          <t>L-0821</t>
        </is>
      </c>
      <c r="M1290">
        <f>F1290-G1290</f>
        <v/>
      </c>
      <c r="N1290" s="2">
        <f>M1290/F1290</f>
        <v/>
      </c>
      <c r="O1290" s="2">
        <f>I1290*J1290/60/M1290</f>
        <v/>
      </c>
      <c r="P1290" s="2">
        <f>K1290/J1290</f>
        <v/>
      </c>
      <c r="Q1290" s="2">
        <f>N1290*O1290*P1290</f>
        <v/>
      </c>
    </row>
    <row r="1291">
      <c r="A1291" t="inlineStr">
        <is>
          <t>2026-08-23</t>
        </is>
      </c>
      <c r="B1291" t="inlineStr">
        <is>
          <t>야간</t>
        </is>
      </c>
      <c r="C1291" t="inlineStr">
        <is>
          <t>P3</t>
        </is>
      </c>
      <c r="D1291" t="inlineStr">
        <is>
          <t>소결</t>
        </is>
      </c>
      <c r="E1291" t="inlineStr">
        <is>
          <t>SF-02</t>
        </is>
      </c>
      <c r="F1291" t="n">
        <v>480</v>
      </c>
      <c r="G1291" t="n">
        <v>95</v>
      </c>
      <c r="H1291" t="inlineStr">
        <is>
          <t>재가열</t>
        </is>
      </c>
      <c r="I1291" t="n">
        <v>6.5</v>
      </c>
      <c r="J1291" t="n">
        <v>3162</v>
      </c>
      <c r="K1291" t="n">
        <v>2971</v>
      </c>
      <c r="L1291" t="inlineStr">
        <is>
          <t>L-0821</t>
        </is>
      </c>
      <c r="M1291">
        <f>F1291-G1291</f>
        <v/>
      </c>
      <c r="N1291" s="2">
        <f>M1291/F1291</f>
        <v/>
      </c>
      <c r="O1291" s="2">
        <f>I1291*J1291/60/M1291</f>
        <v/>
      </c>
      <c r="P1291" s="2">
        <f>K1291/J1291</f>
        <v/>
      </c>
      <c r="Q1291" s="2">
        <f>N1291*O1291*P1291</f>
        <v/>
      </c>
    </row>
    <row r="1292">
      <c r="A1292" t="inlineStr">
        <is>
          <t>2026-08-23</t>
        </is>
      </c>
      <c r="B1292" t="inlineStr">
        <is>
          <t>야간</t>
        </is>
      </c>
      <c r="C1292" t="inlineStr">
        <is>
          <t>P4</t>
        </is>
      </c>
      <c r="D1292" t="inlineStr">
        <is>
          <t>연삭</t>
        </is>
      </c>
      <c r="E1292" t="inlineStr">
        <is>
          <t>GR-01</t>
        </is>
      </c>
      <c r="F1292" t="n">
        <v>480</v>
      </c>
      <c r="G1292" t="n">
        <v>69</v>
      </c>
      <c r="H1292" t="inlineStr">
        <is>
          <t>공구 교체</t>
        </is>
      </c>
      <c r="I1292" t="n">
        <v>6.2</v>
      </c>
      <c r="J1292" t="n">
        <v>3747</v>
      </c>
      <c r="K1292" t="n">
        <v>3708</v>
      </c>
      <c r="L1292" t="inlineStr">
        <is>
          <t>L-0821</t>
        </is>
      </c>
      <c r="M1292">
        <f>F1292-G1292</f>
        <v/>
      </c>
      <c r="N1292" s="2">
        <f>M1292/F1292</f>
        <v/>
      </c>
      <c r="O1292" s="2">
        <f>I1292*J1292/60/M1292</f>
        <v/>
      </c>
      <c r="P1292" s="2">
        <f>K1292/J1292</f>
        <v/>
      </c>
      <c r="Q1292" s="2">
        <f>N1292*O1292*P1292</f>
        <v/>
      </c>
    </row>
    <row r="1293">
      <c r="A1293" t="inlineStr">
        <is>
          <t>2026-08-23</t>
        </is>
      </c>
      <c r="B1293" t="inlineStr">
        <is>
          <t>야간</t>
        </is>
      </c>
      <c r="C1293" t="inlineStr">
        <is>
          <t>P4</t>
        </is>
      </c>
      <c r="D1293" t="inlineStr">
        <is>
          <t>연삭</t>
        </is>
      </c>
      <c r="E1293" t="inlineStr">
        <is>
          <t>GR-02</t>
        </is>
      </c>
      <c r="F1293" t="n">
        <v>480</v>
      </c>
      <c r="G1293" t="n">
        <v>49</v>
      </c>
      <c r="H1293" t="inlineStr">
        <is>
          <t>드레싱</t>
        </is>
      </c>
      <c r="I1293" t="n">
        <v>6.2</v>
      </c>
      <c r="J1293" t="n">
        <v>3769</v>
      </c>
      <c r="K1293" t="n">
        <v>3715</v>
      </c>
      <c r="L1293" t="inlineStr">
        <is>
          <t>L-0821</t>
        </is>
      </c>
      <c r="M1293">
        <f>F1293-G1293</f>
        <v/>
      </c>
      <c r="N1293" s="2">
        <f>M1293/F1293</f>
        <v/>
      </c>
      <c r="O1293" s="2">
        <f>I1293*J1293/60/M1293</f>
        <v/>
      </c>
      <c r="P1293" s="2">
        <f>K1293/J1293</f>
        <v/>
      </c>
      <c r="Q1293" s="2">
        <f>N1293*O1293*P1293</f>
        <v/>
      </c>
    </row>
    <row r="1294">
      <c r="A1294" t="inlineStr">
        <is>
          <t>2026-08-23</t>
        </is>
      </c>
      <c r="B1294" t="inlineStr">
        <is>
          <t>야간</t>
        </is>
      </c>
      <c r="C1294" t="inlineStr">
        <is>
          <t>P5</t>
        </is>
      </c>
      <c r="D1294" t="inlineStr">
        <is>
          <t>검사</t>
        </is>
      </c>
      <c r="E1294" t="inlineStr">
        <is>
          <t>IN-01</t>
        </is>
      </c>
      <c r="F1294" t="n">
        <v>480</v>
      </c>
      <c r="G1294" t="n">
        <v>19</v>
      </c>
      <c r="H1294" t="inlineStr">
        <is>
          <t>측정기 교정</t>
        </is>
      </c>
      <c r="I1294" t="n">
        <v>5.5</v>
      </c>
      <c r="J1294" t="n">
        <v>4703</v>
      </c>
      <c r="K1294" t="n">
        <v>4683</v>
      </c>
      <c r="L1294" t="inlineStr">
        <is>
          <t>L-0821</t>
        </is>
      </c>
      <c r="M1294">
        <f>F1294-G1294</f>
        <v/>
      </c>
      <c r="N1294" s="2">
        <f>M1294/F1294</f>
        <v/>
      </c>
      <c r="O1294" s="2">
        <f>I1294*J1294/60/M1294</f>
        <v/>
      </c>
      <c r="P1294" s="2">
        <f>K1294/J1294</f>
        <v/>
      </c>
      <c r="Q1294" s="2">
        <f>N1294*O1294*P1294</f>
        <v/>
      </c>
    </row>
    <row r="1295">
      <c r="A1295" t="inlineStr">
        <is>
          <t>2026-08-23</t>
        </is>
      </c>
      <c r="B1295" t="inlineStr">
        <is>
          <t>야간</t>
        </is>
      </c>
      <c r="C1295" t="inlineStr">
        <is>
          <t>P5</t>
        </is>
      </c>
      <c r="D1295" t="inlineStr">
        <is>
          <t>검사</t>
        </is>
      </c>
      <c r="E1295" t="inlineStr">
        <is>
          <t>IN-02</t>
        </is>
      </c>
      <c r="F1295" t="n">
        <v>480</v>
      </c>
      <c r="G1295" t="n">
        <v>12</v>
      </c>
      <c r="H1295" t="inlineStr">
        <is>
          <t>측정기 교정</t>
        </is>
      </c>
      <c r="I1295" t="n">
        <v>5.5</v>
      </c>
      <c r="J1295" t="n">
        <v>4692</v>
      </c>
      <c r="K1295" t="n">
        <v>4674</v>
      </c>
      <c r="L1295" t="inlineStr">
        <is>
          <t>L-0821</t>
        </is>
      </c>
      <c r="M1295">
        <f>F1295-G1295</f>
        <v/>
      </c>
      <c r="N1295" s="2">
        <f>M1295/F1295</f>
        <v/>
      </c>
      <c r="O1295" s="2">
        <f>I1295*J1295/60/M1295</f>
        <v/>
      </c>
      <c r="P1295" s="2">
        <f>K1295/J1295</f>
        <v/>
      </c>
      <c r="Q1295" s="2">
        <f>N1295*O1295*P1295</f>
        <v/>
      </c>
    </row>
    <row r="1296">
      <c r="A1296" t="inlineStr">
        <is>
          <t>2026-08-23</t>
        </is>
      </c>
      <c r="B1296" t="inlineStr">
        <is>
          <t>야간</t>
        </is>
      </c>
      <c r="C1296" t="inlineStr">
        <is>
          <t>P6</t>
        </is>
      </c>
      <c r="D1296" t="inlineStr">
        <is>
          <t>포장</t>
        </is>
      </c>
      <c r="E1296" t="inlineStr">
        <is>
          <t>PK-01</t>
        </is>
      </c>
      <c r="F1296" t="n">
        <v>480</v>
      </c>
      <c r="G1296" t="n">
        <v>27</v>
      </c>
      <c r="H1296" t="inlineStr">
        <is>
          <t>라벨 교체</t>
        </is>
      </c>
      <c r="I1296" t="n">
        <v>4.8</v>
      </c>
      <c r="J1296" t="n">
        <v>5442</v>
      </c>
      <c r="K1296" t="n">
        <v>5425</v>
      </c>
      <c r="L1296" t="inlineStr">
        <is>
          <t>L-0821</t>
        </is>
      </c>
      <c r="M1296">
        <f>F1296-G1296</f>
        <v/>
      </c>
      <c r="N1296" s="2">
        <f>M1296/F1296</f>
        <v/>
      </c>
      <c r="O1296" s="2">
        <f>I1296*J1296/60/M1296</f>
        <v/>
      </c>
      <c r="P1296" s="2">
        <f>K1296/J1296</f>
        <v/>
      </c>
      <c r="Q1296" s="2">
        <f>N1296*O1296*P1296</f>
        <v/>
      </c>
    </row>
    <row r="1297">
      <c r="A1297" t="inlineStr">
        <is>
          <t>2026-08-23</t>
        </is>
      </c>
      <c r="B1297" t="inlineStr">
        <is>
          <t>야간</t>
        </is>
      </c>
      <c r="C1297" t="inlineStr">
        <is>
          <t>P6</t>
        </is>
      </c>
      <c r="D1297" t="inlineStr">
        <is>
          <t>포장</t>
        </is>
      </c>
      <c r="E1297" t="inlineStr">
        <is>
          <t>PK-02</t>
        </is>
      </c>
      <c r="F1297" t="n">
        <v>480</v>
      </c>
      <c r="G1297" t="n">
        <v>18</v>
      </c>
      <c r="H1297" t="inlineStr">
        <is>
          <t>자재 대기</t>
        </is>
      </c>
      <c r="I1297" t="n">
        <v>4.8</v>
      </c>
      <c r="J1297" t="n">
        <v>5290</v>
      </c>
      <c r="K1297" t="n">
        <v>5275</v>
      </c>
      <c r="L1297" t="inlineStr">
        <is>
          <t>L-0821</t>
        </is>
      </c>
      <c r="M1297">
        <f>F1297-G1297</f>
        <v/>
      </c>
      <c r="N1297" s="2">
        <f>M1297/F1297</f>
        <v/>
      </c>
      <c r="O1297" s="2">
        <f>I1297*J1297/60/M1297</f>
        <v/>
      </c>
      <c r="P1297" s="2">
        <f>K1297/J1297</f>
        <v/>
      </c>
      <c r="Q1297" s="2">
        <f>N1297*O1297*P1297</f>
        <v/>
      </c>
    </row>
    <row r="1298">
      <c r="A1298" t="inlineStr">
        <is>
          <t>2026-08-24</t>
        </is>
      </c>
      <c r="B1298" t="inlineStr">
        <is>
          <t>주간</t>
        </is>
      </c>
      <c r="C1298" t="inlineStr">
        <is>
          <t>P1</t>
        </is>
      </c>
      <c r="D1298" t="inlineStr">
        <is>
          <t>원료혼합</t>
        </is>
      </c>
      <c r="E1298" t="inlineStr">
        <is>
          <t>MX-01</t>
        </is>
      </c>
      <c r="F1298" t="n">
        <v>480</v>
      </c>
      <c r="G1298" t="n">
        <v>18</v>
      </c>
      <c r="H1298" t="inlineStr">
        <is>
          <t>청소</t>
        </is>
      </c>
      <c r="I1298" t="n">
        <v>5</v>
      </c>
      <c r="J1298" t="n">
        <v>4885</v>
      </c>
      <c r="K1298" t="n">
        <v>4853</v>
      </c>
      <c r="L1298" t="inlineStr">
        <is>
          <t>L-0821</t>
        </is>
      </c>
      <c r="M1298">
        <f>F1298-G1298</f>
        <v/>
      </c>
      <c r="N1298" s="2">
        <f>M1298/F1298</f>
        <v/>
      </c>
      <c r="O1298" s="2">
        <f>I1298*J1298/60/M1298</f>
        <v/>
      </c>
      <c r="P1298" s="2">
        <f>K1298/J1298</f>
        <v/>
      </c>
      <c r="Q1298" s="2">
        <f>N1298*O1298*P1298</f>
        <v/>
      </c>
    </row>
    <row r="1299">
      <c r="A1299" t="inlineStr">
        <is>
          <t>2026-08-24</t>
        </is>
      </c>
      <c r="B1299" t="inlineStr">
        <is>
          <t>주간</t>
        </is>
      </c>
      <c r="C1299" t="inlineStr">
        <is>
          <t>P1</t>
        </is>
      </c>
      <c r="D1299" t="inlineStr">
        <is>
          <t>원료혼합</t>
        </is>
      </c>
      <c r="E1299" t="inlineStr">
        <is>
          <t>MX-02</t>
        </is>
      </c>
      <c r="F1299" t="n">
        <v>480</v>
      </c>
      <c r="G1299" t="n">
        <v>25</v>
      </c>
      <c r="H1299" t="inlineStr">
        <is>
          <t>원료 대기</t>
        </is>
      </c>
      <c r="I1299" t="n">
        <v>5</v>
      </c>
      <c r="J1299" t="n">
        <v>5353</v>
      </c>
      <c r="K1299" t="n">
        <v>5321</v>
      </c>
      <c r="L1299" t="inlineStr">
        <is>
          <t>L-0821</t>
        </is>
      </c>
      <c r="M1299">
        <f>F1299-G1299</f>
        <v/>
      </c>
      <c r="N1299" s="2">
        <f>M1299/F1299</f>
        <v/>
      </c>
      <c r="O1299" s="2">
        <f>I1299*J1299/60/M1299</f>
        <v/>
      </c>
      <c r="P1299" s="2">
        <f>K1299/J1299</f>
        <v/>
      </c>
      <c r="Q1299" s="2">
        <f>N1299*O1299*P1299</f>
        <v/>
      </c>
    </row>
    <row r="1300">
      <c r="A1300" t="inlineStr">
        <is>
          <t>2026-08-24</t>
        </is>
      </c>
      <c r="B1300" t="inlineStr">
        <is>
          <t>주간</t>
        </is>
      </c>
      <c r="C1300" t="inlineStr">
        <is>
          <t>P2</t>
        </is>
      </c>
      <c r="D1300" t="inlineStr">
        <is>
          <t>성형</t>
        </is>
      </c>
      <c r="E1300" t="inlineStr">
        <is>
          <t>PR-01</t>
        </is>
      </c>
      <c r="F1300" t="n">
        <v>480</v>
      </c>
      <c r="G1300" t="n">
        <v>9</v>
      </c>
      <c r="H1300" t="inlineStr">
        <is>
          <t>금형 교체</t>
        </is>
      </c>
      <c r="I1300" t="n">
        <v>6</v>
      </c>
      <c r="J1300" t="n">
        <v>4202</v>
      </c>
      <c r="K1300" t="n">
        <v>4155</v>
      </c>
      <c r="L1300" t="inlineStr">
        <is>
          <t>L-0821</t>
        </is>
      </c>
      <c r="M1300">
        <f>F1300-G1300</f>
        <v/>
      </c>
      <c r="N1300" s="2">
        <f>M1300/F1300</f>
        <v/>
      </c>
      <c r="O1300" s="2">
        <f>I1300*J1300/60/M1300</f>
        <v/>
      </c>
      <c r="P1300" s="2">
        <f>K1300/J1300</f>
        <v/>
      </c>
      <c r="Q1300" s="2">
        <f>N1300*O1300*P1300</f>
        <v/>
      </c>
    </row>
    <row r="1301">
      <c r="A1301" t="inlineStr">
        <is>
          <t>2026-08-24</t>
        </is>
      </c>
      <c r="B1301" t="inlineStr">
        <is>
          <t>주간</t>
        </is>
      </c>
      <c r="C1301" t="inlineStr">
        <is>
          <t>P2</t>
        </is>
      </c>
      <c r="D1301" t="inlineStr">
        <is>
          <t>성형</t>
        </is>
      </c>
      <c r="E1301" t="inlineStr">
        <is>
          <t>PR-02</t>
        </is>
      </c>
      <c r="F1301" t="n">
        <v>480</v>
      </c>
      <c r="G1301" t="n">
        <v>37</v>
      </c>
      <c r="H1301" t="inlineStr">
        <is>
          <t>분말 공급 지연</t>
        </is>
      </c>
      <c r="I1301" t="n">
        <v>6</v>
      </c>
      <c r="J1301" t="n">
        <v>4025</v>
      </c>
      <c r="K1301" t="n">
        <v>3986</v>
      </c>
      <c r="L1301" t="inlineStr">
        <is>
          <t>L-0821</t>
        </is>
      </c>
      <c r="M1301">
        <f>F1301-G1301</f>
        <v/>
      </c>
      <c r="N1301" s="2">
        <f>M1301/F1301</f>
        <v/>
      </c>
      <c r="O1301" s="2">
        <f>I1301*J1301/60/M1301</f>
        <v/>
      </c>
      <c r="P1301" s="2">
        <f>K1301/J1301</f>
        <v/>
      </c>
      <c r="Q1301" s="2">
        <f>N1301*O1301*P1301</f>
        <v/>
      </c>
    </row>
    <row r="1302">
      <c r="A1302" t="inlineStr">
        <is>
          <t>2026-08-24</t>
        </is>
      </c>
      <c r="B1302" t="inlineStr">
        <is>
          <t>주간</t>
        </is>
      </c>
      <c r="C1302" t="inlineStr">
        <is>
          <t>P3</t>
        </is>
      </c>
      <c r="D1302" t="inlineStr">
        <is>
          <t>소결</t>
        </is>
      </c>
      <c r="E1302" t="inlineStr">
        <is>
          <t>SF-01</t>
        </is>
      </c>
      <c r="F1302" t="n">
        <v>480</v>
      </c>
      <c r="G1302" t="n">
        <v>26</v>
      </c>
      <c r="H1302" t="inlineStr">
        <is>
          <t>재가열</t>
        </is>
      </c>
      <c r="I1302" t="n">
        <v>6.5</v>
      </c>
      <c r="J1302" t="n">
        <v>3899</v>
      </c>
      <c r="K1302" t="n">
        <v>3837</v>
      </c>
      <c r="L1302" t="inlineStr">
        <is>
          <t>L-0821</t>
        </is>
      </c>
      <c r="M1302">
        <f>F1302-G1302</f>
        <v/>
      </c>
      <c r="N1302" s="2">
        <f>M1302/F1302</f>
        <v/>
      </c>
      <c r="O1302" s="2">
        <f>I1302*J1302/60/M1302</f>
        <v/>
      </c>
      <c r="P1302" s="2">
        <f>K1302/J1302</f>
        <v/>
      </c>
      <c r="Q1302" s="2">
        <f>N1302*O1302*P1302</f>
        <v/>
      </c>
    </row>
    <row r="1303">
      <c r="A1303" t="inlineStr">
        <is>
          <t>2026-08-24</t>
        </is>
      </c>
      <c r="B1303" t="inlineStr">
        <is>
          <t>주간</t>
        </is>
      </c>
      <c r="C1303" t="inlineStr">
        <is>
          <t>P3</t>
        </is>
      </c>
      <c r="D1303" t="inlineStr">
        <is>
          <t>소결</t>
        </is>
      </c>
      <c r="E1303" t="inlineStr">
        <is>
          <t>SF-02</t>
        </is>
      </c>
      <c r="F1303" t="n">
        <v>480</v>
      </c>
      <c r="G1303" t="n">
        <v>97</v>
      </c>
      <c r="H1303" t="inlineStr">
        <is>
          <t>재가열</t>
        </is>
      </c>
      <c r="I1303" t="n">
        <v>6.5</v>
      </c>
      <c r="J1303" t="n">
        <v>3041</v>
      </c>
      <c r="K1303" t="n">
        <v>2813</v>
      </c>
      <c r="L1303" t="inlineStr">
        <is>
          <t>L-0821</t>
        </is>
      </c>
      <c r="M1303">
        <f>F1303-G1303</f>
        <v/>
      </c>
      <c r="N1303" s="2">
        <f>M1303/F1303</f>
        <v/>
      </c>
      <c r="O1303" s="2">
        <f>I1303*J1303/60/M1303</f>
        <v/>
      </c>
      <c r="P1303" s="2">
        <f>K1303/J1303</f>
        <v/>
      </c>
      <c r="Q1303" s="2">
        <f>N1303*O1303*P1303</f>
        <v/>
      </c>
    </row>
    <row r="1304">
      <c r="A1304" t="inlineStr">
        <is>
          <t>2026-08-24</t>
        </is>
      </c>
      <c r="B1304" t="inlineStr">
        <is>
          <t>주간</t>
        </is>
      </c>
      <c r="C1304" t="inlineStr">
        <is>
          <t>P4</t>
        </is>
      </c>
      <c r="D1304" t="inlineStr">
        <is>
          <t>연삭</t>
        </is>
      </c>
      <c r="E1304" t="inlineStr">
        <is>
          <t>GR-01</t>
        </is>
      </c>
      <c r="F1304" t="n">
        <v>480</v>
      </c>
      <c r="G1304" t="n">
        <v>59</v>
      </c>
      <c r="H1304" t="inlineStr">
        <is>
          <t>공구 교체</t>
        </is>
      </c>
      <c r="I1304" t="n">
        <v>6.2</v>
      </c>
      <c r="J1304" t="n">
        <v>3730</v>
      </c>
      <c r="K1304" t="n">
        <v>3693</v>
      </c>
      <c r="L1304" t="inlineStr">
        <is>
          <t>L-0821</t>
        </is>
      </c>
      <c r="M1304">
        <f>F1304-G1304</f>
        <v/>
      </c>
      <c r="N1304" s="2">
        <f>M1304/F1304</f>
        <v/>
      </c>
      <c r="O1304" s="2">
        <f>I1304*J1304/60/M1304</f>
        <v/>
      </c>
      <c r="P1304" s="2">
        <f>K1304/J1304</f>
        <v/>
      </c>
      <c r="Q1304" s="2">
        <f>N1304*O1304*P1304</f>
        <v/>
      </c>
    </row>
    <row r="1305">
      <c r="A1305" t="inlineStr">
        <is>
          <t>2026-08-24</t>
        </is>
      </c>
      <c r="B1305" t="inlineStr">
        <is>
          <t>주간</t>
        </is>
      </c>
      <c r="C1305" t="inlineStr">
        <is>
          <t>P4</t>
        </is>
      </c>
      <c r="D1305" t="inlineStr">
        <is>
          <t>연삭</t>
        </is>
      </c>
      <c r="E1305" t="inlineStr">
        <is>
          <t>GR-02</t>
        </is>
      </c>
      <c r="F1305" t="n">
        <v>480</v>
      </c>
      <c r="G1305" t="n">
        <v>50</v>
      </c>
      <c r="H1305" t="inlineStr">
        <is>
          <t>공구 교체</t>
        </is>
      </c>
      <c r="I1305" t="n">
        <v>6.2</v>
      </c>
      <c r="J1305" t="n">
        <v>3851</v>
      </c>
      <c r="K1305" t="n">
        <v>3806</v>
      </c>
      <c r="L1305" t="inlineStr">
        <is>
          <t>L-0821</t>
        </is>
      </c>
      <c r="M1305">
        <f>F1305-G1305</f>
        <v/>
      </c>
      <c r="N1305" s="2">
        <f>M1305/F1305</f>
        <v/>
      </c>
      <c r="O1305" s="2">
        <f>I1305*J1305/60/M1305</f>
        <v/>
      </c>
      <c r="P1305" s="2">
        <f>K1305/J1305</f>
        <v/>
      </c>
      <c r="Q1305" s="2">
        <f>N1305*O1305*P1305</f>
        <v/>
      </c>
    </row>
    <row r="1306">
      <c r="A1306" t="inlineStr">
        <is>
          <t>2026-08-24</t>
        </is>
      </c>
      <c r="B1306" t="inlineStr">
        <is>
          <t>주간</t>
        </is>
      </c>
      <c r="C1306" t="inlineStr">
        <is>
          <t>P5</t>
        </is>
      </c>
      <c r="D1306" t="inlineStr">
        <is>
          <t>검사</t>
        </is>
      </c>
      <c r="E1306" t="inlineStr">
        <is>
          <t>IN-01</t>
        </is>
      </c>
      <c r="F1306" t="n">
        <v>480</v>
      </c>
      <c r="G1306" t="n">
        <v>24</v>
      </c>
      <c r="H1306" t="inlineStr">
        <is>
          <t>샘플 재검</t>
        </is>
      </c>
      <c r="I1306" t="n">
        <v>5.5</v>
      </c>
      <c r="J1306" t="n">
        <v>4701</v>
      </c>
      <c r="K1306" t="n">
        <v>4685</v>
      </c>
      <c r="L1306" t="inlineStr">
        <is>
          <t>L-0821</t>
        </is>
      </c>
      <c r="M1306">
        <f>F1306-G1306</f>
        <v/>
      </c>
      <c r="N1306" s="2">
        <f>M1306/F1306</f>
        <v/>
      </c>
      <c r="O1306" s="2">
        <f>I1306*J1306/60/M1306</f>
        <v/>
      </c>
      <c r="P1306" s="2">
        <f>K1306/J1306</f>
        <v/>
      </c>
      <c r="Q1306" s="2">
        <f>N1306*O1306*P1306</f>
        <v/>
      </c>
    </row>
    <row r="1307">
      <c r="A1307" t="inlineStr">
        <is>
          <t>2026-08-24</t>
        </is>
      </c>
      <c r="B1307" t="inlineStr">
        <is>
          <t>주간</t>
        </is>
      </c>
      <c r="C1307" t="inlineStr">
        <is>
          <t>P5</t>
        </is>
      </c>
      <c r="D1307" t="inlineStr">
        <is>
          <t>검사</t>
        </is>
      </c>
      <c r="E1307" t="inlineStr">
        <is>
          <t>IN-02</t>
        </is>
      </c>
      <c r="F1307" t="n">
        <v>480</v>
      </c>
      <c r="G1307" t="n">
        <v>45</v>
      </c>
      <c r="H1307" t="inlineStr">
        <is>
          <t>측정기 교정</t>
        </is>
      </c>
      <c r="I1307" t="n">
        <v>5.5</v>
      </c>
      <c r="J1307" t="n">
        <v>4127</v>
      </c>
      <c r="K1307" t="n">
        <v>4113</v>
      </c>
      <c r="L1307" t="inlineStr">
        <is>
          <t>L-0821</t>
        </is>
      </c>
      <c r="M1307">
        <f>F1307-G1307</f>
        <v/>
      </c>
      <c r="N1307" s="2">
        <f>M1307/F1307</f>
        <v/>
      </c>
      <c r="O1307" s="2">
        <f>I1307*J1307/60/M1307</f>
        <v/>
      </c>
      <c r="P1307" s="2">
        <f>K1307/J1307</f>
        <v/>
      </c>
      <c r="Q1307" s="2">
        <f>N1307*O1307*P1307</f>
        <v/>
      </c>
    </row>
    <row r="1308">
      <c r="A1308" t="inlineStr">
        <is>
          <t>2026-08-24</t>
        </is>
      </c>
      <c r="B1308" t="inlineStr">
        <is>
          <t>주간</t>
        </is>
      </c>
      <c r="C1308" t="inlineStr">
        <is>
          <t>P6</t>
        </is>
      </c>
      <c r="D1308" t="inlineStr">
        <is>
          <t>포장</t>
        </is>
      </c>
      <c r="E1308" t="inlineStr">
        <is>
          <t>PK-01</t>
        </is>
      </c>
      <c r="F1308" t="n">
        <v>480</v>
      </c>
      <c r="G1308" t="n">
        <v>38</v>
      </c>
      <c r="H1308" t="inlineStr">
        <is>
          <t>자재 대기</t>
        </is>
      </c>
      <c r="I1308" t="n">
        <v>4.8</v>
      </c>
      <c r="J1308" t="n">
        <v>5118</v>
      </c>
      <c r="K1308" t="n">
        <v>5109</v>
      </c>
      <c r="L1308" t="inlineStr">
        <is>
          <t>L-0821</t>
        </is>
      </c>
      <c r="M1308">
        <f>F1308-G1308</f>
        <v/>
      </c>
      <c r="N1308" s="2">
        <f>M1308/F1308</f>
        <v/>
      </c>
      <c r="O1308" s="2">
        <f>I1308*J1308/60/M1308</f>
        <v/>
      </c>
      <c r="P1308" s="2">
        <f>K1308/J1308</f>
        <v/>
      </c>
      <c r="Q1308" s="2">
        <f>N1308*O1308*P1308</f>
        <v/>
      </c>
    </row>
    <row r="1309">
      <c r="A1309" t="inlineStr">
        <is>
          <t>2026-08-24</t>
        </is>
      </c>
      <c r="B1309" t="inlineStr">
        <is>
          <t>주간</t>
        </is>
      </c>
      <c r="C1309" t="inlineStr">
        <is>
          <t>P6</t>
        </is>
      </c>
      <c r="D1309" t="inlineStr">
        <is>
          <t>포장</t>
        </is>
      </c>
      <c r="E1309" t="inlineStr">
        <is>
          <t>PK-02</t>
        </is>
      </c>
      <c r="F1309" t="n">
        <v>480</v>
      </c>
      <c r="G1309" t="n">
        <v>30</v>
      </c>
      <c r="H1309" t="inlineStr">
        <is>
          <t>라벨 교체</t>
        </is>
      </c>
      <c r="I1309" t="n">
        <v>4.8</v>
      </c>
      <c r="J1309" t="n">
        <v>5414</v>
      </c>
      <c r="K1309" t="n">
        <v>5401</v>
      </c>
      <c r="L1309" t="inlineStr">
        <is>
          <t>L-0821</t>
        </is>
      </c>
      <c r="M1309">
        <f>F1309-G1309</f>
        <v/>
      </c>
      <c r="N1309" s="2">
        <f>M1309/F1309</f>
        <v/>
      </c>
      <c r="O1309" s="2">
        <f>I1309*J1309/60/M1309</f>
        <v/>
      </c>
      <c r="P1309" s="2">
        <f>K1309/J1309</f>
        <v/>
      </c>
      <c r="Q1309" s="2">
        <f>N1309*O1309*P1309</f>
        <v/>
      </c>
    </row>
    <row r="1310">
      <c r="A1310" t="inlineStr">
        <is>
          <t>2026-08-24</t>
        </is>
      </c>
      <c r="B1310" t="inlineStr">
        <is>
          <t>야간</t>
        </is>
      </c>
      <c r="C1310" t="inlineStr">
        <is>
          <t>P1</t>
        </is>
      </c>
      <c r="D1310" t="inlineStr">
        <is>
          <t>원료혼합</t>
        </is>
      </c>
      <c r="E1310" t="inlineStr">
        <is>
          <t>MX-01</t>
        </is>
      </c>
      <c r="F1310" t="n">
        <v>480</v>
      </c>
      <c r="G1310" t="n">
        <v>11</v>
      </c>
      <c r="H1310" t="inlineStr">
        <is>
          <t>원료 대기</t>
        </is>
      </c>
      <c r="I1310" t="n">
        <v>5</v>
      </c>
      <c r="J1310" t="n">
        <v>5237</v>
      </c>
      <c r="K1310" t="n">
        <v>5201</v>
      </c>
      <c r="L1310" t="inlineStr">
        <is>
          <t>L-0821</t>
        </is>
      </c>
      <c r="M1310">
        <f>F1310-G1310</f>
        <v/>
      </c>
      <c r="N1310" s="2">
        <f>M1310/F1310</f>
        <v/>
      </c>
      <c r="O1310" s="2">
        <f>I1310*J1310/60/M1310</f>
        <v/>
      </c>
      <c r="P1310" s="2">
        <f>K1310/J1310</f>
        <v/>
      </c>
      <c r="Q1310" s="2">
        <f>N1310*O1310*P1310</f>
        <v/>
      </c>
    </row>
    <row r="1311">
      <c r="A1311" t="inlineStr">
        <is>
          <t>2026-08-24</t>
        </is>
      </c>
      <c r="B1311" t="inlineStr">
        <is>
          <t>야간</t>
        </is>
      </c>
      <c r="C1311" t="inlineStr">
        <is>
          <t>P1</t>
        </is>
      </c>
      <c r="D1311" t="inlineStr">
        <is>
          <t>원료혼합</t>
        </is>
      </c>
      <c r="E1311" t="inlineStr">
        <is>
          <t>MX-02</t>
        </is>
      </c>
      <c r="F1311" t="n">
        <v>480</v>
      </c>
      <c r="G1311" t="n">
        <v>14</v>
      </c>
      <c r="H1311" t="inlineStr">
        <is>
          <t>청소</t>
        </is>
      </c>
      <c r="I1311" t="n">
        <v>5</v>
      </c>
      <c r="J1311" t="n">
        <v>5207</v>
      </c>
      <c r="K1311" t="n">
        <v>5169</v>
      </c>
      <c r="L1311" t="inlineStr">
        <is>
          <t>L-0821</t>
        </is>
      </c>
      <c r="M1311">
        <f>F1311-G1311</f>
        <v/>
      </c>
      <c r="N1311" s="2">
        <f>M1311/F1311</f>
        <v/>
      </c>
      <c r="O1311" s="2">
        <f>I1311*J1311/60/M1311</f>
        <v/>
      </c>
      <c r="P1311" s="2">
        <f>K1311/J1311</f>
        <v/>
      </c>
      <c r="Q1311" s="2">
        <f>N1311*O1311*P1311</f>
        <v/>
      </c>
    </row>
    <row r="1312">
      <c r="A1312" t="inlineStr">
        <is>
          <t>2026-08-24</t>
        </is>
      </c>
      <c r="B1312" t="inlineStr">
        <is>
          <t>야간</t>
        </is>
      </c>
      <c r="C1312" t="inlineStr">
        <is>
          <t>P2</t>
        </is>
      </c>
      <c r="D1312" t="inlineStr">
        <is>
          <t>성형</t>
        </is>
      </c>
      <c r="E1312" t="inlineStr">
        <is>
          <t>PR-01</t>
        </is>
      </c>
      <c r="F1312" t="n">
        <v>480</v>
      </c>
      <c r="G1312" t="n">
        <v>27</v>
      </c>
      <c r="H1312" t="inlineStr">
        <is>
          <t>금형 교체</t>
        </is>
      </c>
      <c r="I1312" t="n">
        <v>6</v>
      </c>
      <c r="J1312" t="n">
        <v>4113</v>
      </c>
      <c r="K1312" t="n">
        <v>4065</v>
      </c>
      <c r="L1312" t="inlineStr">
        <is>
          <t>L-0821</t>
        </is>
      </c>
      <c r="M1312">
        <f>F1312-G1312</f>
        <v/>
      </c>
      <c r="N1312" s="2">
        <f>M1312/F1312</f>
        <v/>
      </c>
      <c r="O1312" s="2">
        <f>I1312*J1312/60/M1312</f>
        <v/>
      </c>
      <c r="P1312" s="2">
        <f>K1312/J1312</f>
        <v/>
      </c>
      <c r="Q1312" s="2">
        <f>N1312*O1312*P1312</f>
        <v/>
      </c>
    </row>
    <row r="1313">
      <c r="A1313" t="inlineStr">
        <is>
          <t>2026-08-24</t>
        </is>
      </c>
      <c r="B1313" t="inlineStr">
        <is>
          <t>야간</t>
        </is>
      </c>
      <c r="C1313" t="inlineStr">
        <is>
          <t>P2</t>
        </is>
      </c>
      <c r="D1313" t="inlineStr">
        <is>
          <t>성형</t>
        </is>
      </c>
      <c r="E1313" t="inlineStr">
        <is>
          <t>PR-02</t>
        </is>
      </c>
      <c r="F1313" t="n">
        <v>480</v>
      </c>
      <c r="G1313" t="n">
        <v>14</v>
      </c>
      <c r="H1313" t="inlineStr">
        <is>
          <t>금형 교체</t>
        </is>
      </c>
      <c r="I1313" t="n">
        <v>6</v>
      </c>
      <c r="J1313" t="n">
        <v>4369</v>
      </c>
      <c r="K1313" t="n">
        <v>4314</v>
      </c>
      <c r="L1313" t="inlineStr">
        <is>
          <t>L-0821</t>
        </is>
      </c>
      <c r="M1313">
        <f>F1313-G1313</f>
        <v/>
      </c>
      <c r="N1313" s="2">
        <f>M1313/F1313</f>
        <v/>
      </c>
      <c r="O1313" s="2">
        <f>I1313*J1313/60/M1313</f>
        <v/>
      </c>
      <c r="P1313" s="2">
        <f>K1313/J1313</f>
        <v/>
      </c>
      <c r="Q1313" s="2">
        <f>N1313*O1313*P1313</f>
        <v/>
      </c>
    </row>
    <row r="1314">
      <c r="A1314" t="inlineStr">
        <is>
          <t>2026-08-24</t>
        </is>
      </c>
      <c r="B1314" t="inlineStr">
        <is>
          <t>야간</t>
        </is>
      </c>
      <c r="C1314" t="inlineStr">
        <is>
          <t>P3</t>
        </is>
      </c>
      <c r="D1314" t="inlineStr">
        <is>
          <t>소결</t>
        </is>
      </c>
      <c r="E1314" t="inlineStr">
        <is>
          <t>SF-01</t>
        </is>
      </c>
      <c r="F1314" t="n">
        <v>480</v>
      </c>
      <c r="G1314" t="n">
        <v>46</v>
      </c>
      <c r="H1314" t="inlineStr">
        <is>
          <t>재가열</t>
        </is>
      </c>
      <c r="I1314" t="n">
        <v>6.5</v>
      </c>
      <c r="J1314" t="n">
        <v>3445</v>
      </c>
      <c r="K1314" t="n">
        <v>3341</v>
      </c>
      <c r="L1314" t="inlineStr">
        <is>
          <t>L-0821</t>
        </is>
      </c>
      <c r="M1314">
        <f>F1314-G1314</f>
        <v/>
      </c>
      <c r="N1314" s="2">
        <f>M1314/F1314</f>
        <v/>
      </c>
      <c r="O1314" s="2">
        <f>I1314*J1314/60/M1314</f>
        <v/>
      </c>
      <c r="P1314" s="2">
        <f>K1314/J1314</f>
        <v/>
      </c>
      <c r="Q1314" s="2">
        <f>N1314*O1314*P1314</f>
        <v/>
      </c>
    </row>
    <row r="1315">
      <c r="A1315" t="inlineStr">
        <is>
          <t>2026-08-24</t>
        </is>
      </c>
      <c r="B1315" t="inlineStr">
        <is>
          <t>야간</t>
        </is>
      </c>
      <c r="C1315" t="inlineStr">
        <is>
          <t>P3</t>
        </is>
      </c>
      <c r="D1315" t="inlineStr">
        <is>
          <t>소결</t>
        </is>
      </c>
      <c r="E1315" t="inlineStr">
        <is>
          <t>SF-02</t>
        </is>
      </c>
      <c r="F1315" t="n">
        <v>480</v>
      </c>
      <c r="G1315" t="n">
        <v>98</v>
      </c>
      <c r="H1315" t="inlineStr">
        <is>
          <t>재가열</t>
        </is>
      </c>
      <c r="I1315" t="n">
        <v>6.5</v>
      </c>
      <c r="J1315" t="n">
        <v>3060</v>
      </c>
      <c r="K1315" t="n">
        <v>2858</v>
      </c>
      <c r="L1315" t="inlineStr">
        <is>
          <t>L-0821</t>
        </is>
      </c>
      <c r="M1315">
        <f>F1315-G1315</f>
        <v/>
      </c>
      <c r="N1315" s="2">
        <f>M1315/F1315</f>
        <v/>
      </c>
      <c r="O1315" s="2">
        <f>I1315*J1315/60/M1315</f>
        <v/>
      </c>
      <c r="P1315" s="2">
        <f>K1315/J1315</f>
        <v/>
      </c>
      <c r="Q1315" s="2">
        <f>N1315*O1315*P1315</f>
        <v/>
      </c>
    </row>
    <row r="1316">
      <c r="A1316" t="inlineStr">
        <is>
          <t>2026-08-24</t>
        </is>
      </c>
      <c r="B1316" t="inlineStr">
        <is>
          <t>야간</t>
        </is>
      </c>
      <c r="C1316" t="inlineStr">
        <is>
          <t>P4</t>
        </is>
      </c>
      <c r="D1316" t="inlineStr">
        <is>
          <t>연삭</t>
        </is>
      </c>
      <c r="E1316" t="inlineStr">
        <is>
          <t>GR-01</t>
        </is>
      </c>
      <c r="F1316" t="n">
        <v>480</v>
      </c>
      <c r="G1316" t="n">
        <v>79</v>
      </c>
      <c r="H1316" t="inlineStr">
        <is>
          <t>공구 교체</t>
        </is>
      </c>
      <c r="I1316" t="n">
        <v>6.2</v>
      </c>
      <c r="J1316" t="n">
        <v>3728</v>
      </c>
      <c r="K1316" t="n">
        <v>3685</v>
      </c>
      <c r="L1316" t="inlineStr">
        <is>
          <t>L-0821</t>
        </is>
      </c>
      <c r="M1316">
        <f>F1316-G1316</f>
        <v/>
      </c>
      <c r="N1316" s="2">
        <f>M1316/F1316</f>
        <v/>
      </c>
      <c r="O1316" s="2">
        <f>I1316*J1316/60/M1316</f>
        <v/>
      </c>
      <c r="P1316" s="2">
        <f>K1316/J1316</f>
        <v/>
      </c>
      <c r="Q1316" s="2">
        <f>N1316*O1316*P1316</f>
        <v/>
      </c>
    </row>
    <row r="1317">
      <c r="A1317" t="inlineStr">
        <is>
          <t>2026-08-24</t>
        </is>
      </c>
      <c r="B1317" t="inlineStr">
        <is>
          <t>야간</t>
        </is>
      </c>
      <c r="C1317" t="inlineStr">
        <is>
          <t>P4</t>
        </is>
      </c>
      <c r="D1317" t="inlineStr">
        <is>
          <t>연삭</t>
        </is>
      </c>
      <c r="E1317" t="inlineStr">
        <is>
          <t>GR-02</t>
        </is>
      </c>
      <c r="F1317" t="n">
        <v>480</v>
      </c>
      <c r="G1317" t="n">
        <v>57</v>
      </c>
      <c r="H1317" t="inlineStr">
        <is>
          <t>드레싱</t>
        </is>
      </c>
      <c r="I1317" t="n">
        <v>6.2</v>
      </c>
      <c r="J1317" t="n">
        <v>3739</v>
      </c>
      <c r="K1317" t="n">
        <v>3696</v>
      </c>
      <c r="L1317" t="inlineStr">
        <is>
          <t>L-0821</t>
        </is>
      </c>
      <c r="M1317">
        <f>F1317-G1317</f>
        <v/>
      </c>
      <c r="N1317" s="2">
        <f>M1317/F1317</f>
        <v/>
      </c>
      <c r="O1317" s="2">
        <f>I1317*J1317/60/M1317</f>
        <v/>
      </c>
      <c r="P1317" s="2">
        <f>K1317/J1317</f>
        <v/>
      </c>
      <c r="Q1317" s="2">
        <f>N1317*O1317*P1317</f>
        <v/>
      </c>
    </row>
    <row r="1318">
      <c r="A1318" t="inlineStr">
        <is>
          <t>2026-08-24</t>
        </is>
      </c>
      <c r="B1318" t="inlineStr">
        <is>
          <t>야간</t>
        </is>
      </c>
      <c r="C1318" t="inlineStr">
        <is>
          <t>P5</t>
        </is>
      </c>
      <c r="D1318" t="inlineStr">
        <is>
          <t>검사</t>
        </is>
      </c>
      <c r="E1318" t="inlineStr">
        <is>
          <t>IN-01</t>
        </is>
      </c>
      <c r="F1318" t="n">
        <v>480</v>
      </c>
      <c r="G1318" t="n">
        <v>42</v>
      </c>
      <c r="H1318" t="inlineStr">
        <is>
          <t>측정기 교정</t>
        </is>
      </c>
      <c r="I1318" t="n">
        <v>5.5</v>
      </c>
      <c r="J1318" t="n">
        <v>4323</v>
      </c>
      <c r="K1318" t="n">
        <v>4312</v>
      </c>
      <c r="L1318" t="inlineStr">
        <is>
          <t>L-0821</t>
        </is>
      </c>
      <c r="M1318">
        <f>F1318-G1318</f>
        <v/>
      </c>
      <c r="N1318" s="2">
        <f>M1318/F1318</f>
        <v/>
      </c>
      <c r="O1318" s="2">
        <f>I1318*J1318/60/M1318</f>
        <v/>
      </c>
      <c r="P1318" s="2">
        <f>K1318/J1318</f>
        <v/>
      </c>
      <c r="Q1318" s="2">
        <f>N1318*O1318*P1318</f>
        <v/>
      </c>
    </row>
    <row r="1319">
      <c r="A1319" t="inlineStr">
        <is>
          <t>2026-08-24</t>
        </is>
      </c>
      <c r="B1319" t="inlineStr">
        <is>
          <t>야간</t>
        </is>
      </c>
      <c r="C1319" t="inlineStr">
        <is>
          <t>P5</t>
        </is>
      </c>
      <c r="D1319" t="inlineStr">
        <is>
          <t>검사</t>
        </is>
      </c>
      <c r="E1319" t="inlineStr">
        <is>
          <t>IN-02</t>
        </is>
      </c>
      <c r="F1319" t="n">
        <v>480</v>
      </c>
      <c r="G1319" t="n">
        <v>8</v>
      </c>
      <c r="H1319" t="inlineStr">
        <is>
          <t>샘플 재검</t>
        </is>
      </c>
      <c r="I1319" t="n">
        <v>5.5</v>
      </c>
      <c r="J1319" t="n">
        <v>4677</v>
      </c>
      <c r="K1319" t="n">
        <v>4660</v>
      </c>
      <c r="L1319" t="inlineStr">
        <is>
          <t>L-0821</t>
        </is>
      </c>
      <c r="M1319">
        <f>F1319-G1319</f>
        <v/>
      </c>
      <c r="N1319" s="2">
        <f>M1319/F1319</f>
        <v/>
      </c>
      <c r="O1319" s="2">
        <f>I1319*J1319/60/M1319</f>
        <v/>
      </c>
      <c r="P1319" s="2">
        <f>K1319/J1319</f>
        <v/>
      </c>
      <c r="Q1319" s="2">
        <f>N1319*O1319*P1319</f>
        <v/>
      </c>
    </row>
    <row r="1320">
      <c r="A1320" t="inlineStr">
        <is>
          <t>2026-08-24</t>
        </is>
      </c>
      <c r="B1320" t="inlineStr">
        <is>
          <t>야간</t>
        </is>
      </c>
      <c r="C1320" t="inlineStr">
        <is>
          <t>P6</t>
        </is>
      </c>
      <c r="D1320" t="inlineStr">
        <is>
          <t>포장</t>
        </is>
      </c>
      <c r="E1320" t="inlineStr">
        <is>
          <t>PK-01</t>
        </is>
      </c>
      <c r="F1320" t="n">
        <v>480</v>
      </c>
      <c r="G1320" t="n">
        <v>10</v>
      </c>
      <c r="H1320" t="inlineStr">
        <is>
          <t>라벨 교체</t>
        </is>
      </c>
      <c r="I1320" t="n">
        <v>4.8</v>
      </c>
      <c r="J1320" t="n">
        <v>5631</v>
      </c>
      <c r="K1320" t="n">
        <v>5612</v>
      </c>
      <c r="L1320" t="inlineStr">
        <is>
          <t>L-0821</t>
        </is>
      </c>
      <c r="M1320">
        <f>F1320-G1320</f>
        <v/>
      </c>
      <c r="N1320" s="2">
        <f>M1320/F1320</f>
        <v/>
      </c>
      <c r="O1320" s="2">
        <f>I1320*J1320/60/M1320</f>
        <v/>
      </c>
      <c r="P1320" s="2">
        <f>K1320/J1320</f>
        <v/>
      </c>
      <c r="Q1320" s="2">
        <f>N1320*O1320*P1320</f>
        <v/>
      </c>
    </row>
    <row r="1321">
      <c r="A1321" t="inlineStr">
        <is>
          <t>2026-08-24</t>
        </is>
      </c>
      <c r="B1321" t="inlineStr">
        <is>
          <t>야간</t>
        </is>
      </c>
      <c r="C1321" t="inlineStr">
        <is>
          <t>P6</t>
        </is>
      </c>
      <c r="D1321" t="inlineStr">
        <is>
          <t>포장</t>
        </is>
      </c>
      <c r="E1321" t="inlineStr">
        <is>
          <t>PK-02</t>
        </is>
      </c>
      <c r="F1321" t="n">
        <v>480</v>
      </c>
      <c r="G1321" t="n">
        <v>22</v>
      </c>
      <c r="H1321" t="inlineStr">
        <is>
          <t>자재 대기</t>
        </is>
      </c>
      <c r="I1321" t="n">
        <v>4.8</v>
      </c>
      <c r="J1321" t="n">
        <v>5056</v>
      </c>
      <c r="K1321" t="n">
        <v>5043</v>
      </c>
      <c r="L1321" t="inlineStr">
        <is>
          <t>L-0821</t>
        </is>
      </c>
      <c r="M1321">
        <f>F1321-G1321</f>
        <v/>
      </c>
      <c r="N1321" s="2">
        <f>M1321/F1321</f>
        <v/>
      </c>
      <c r="O1321" s="2">
        <f>I1321*J1321/60/M1321</f>
        <v/>
      </c>
      <c r="P1321" s="2">
        <f>K1321/J1321</f>
        <v/>
      </c>
      <c r="Q1321" s="2">
        <f>N1321*O1321*P1321</f>
        <v/>
      </c>
    </row>
    <row r="1322">
      <c r="A1322" t="inlineStr">
        <is>
          <t>2026-08-25</t>
        </is>
      </c>
      <c r="B1322" t="inlineStr">
        <is>
          <t>주간</t>
        </is>
      </c>
      <c r="C1322" t="inlineStr">
        <is>
          <t>P1</t>
        </is>
      </c>
      <c r="D1322" t="inlineStr">
        <is>
          <t>원료혼합</t>
        </is>
      </c>
      <c r="E1322" t="inlineStr">
        <is>
          <t>MX-01</t>
        </is>
      </c>
      <c r="F1322" t="n">
        <v>480</v>
      </c>
      <c r="G1322" t="n">
        <v>22</v>
      </c>
      <c r="H1322" t="inlineStr">
        <is>
          <t>청소</t>
        </is>
      </c>
      <c r="I1322" t="n">
        <v>5</v>
      </c>
      <c r="J1322" t="n">
        <v>5221</v>
      </c>
      <c r="K1322" t="n">
        <v>5190</v>
      </c>
      <c r="L1322" t="inlineStr">
        <is>
          <t>L-0821</t>
        </is>
      </c>
      <c r="M1322">
        <f>F1322-G1322</f>
        <v/>
      </c>
      <c r="N1322" s="2">
        <f>M1322/F1322</f>
        <v/>
      </c>
      <c r="O1322" s="2">
        <f>I1322*J1322/60/M1322</f>
        <v/>
      </c>
      <c r="P1322" s="2">
        <f>K1322/J1322</f>
        <v/>
      </c>
      <c r="Q1322" s="2">
        <f>N1322*O1322*P1322</f>
        <v/>
      </c>
    </row>
    <row r="1323">
      <c r="A1323" t="inlineStr">
        <is>
          <t>2026-08-25</t>
        </is>
      </c>
      <c r="B1323" t="inlineStr">
        <is>
          <t>주간</t>
        </is>
      </c>
      <c r="C1323" t="inlineStr">
        <is>
          <t>P1</t>
        </is>
      </c>
      <c r="D1323" t="inlineStr">
        <is>
          <t>원료혼합</t>
        </is>
      </c>
      <c r="E1323" t="inlineStr">
        <is>
          <t>MX-02</t>
        </is>
      </c>
      <c r="F1323" t="n">
        <v>480</v>
      </c>
      <c r="G1323" t="n">
        <v>14</v>
      </c>
      <c r="H1323" t="inlineStr">
        <is>
          <t>청소</t>
        </is>
      </c>
      <c r="I1323" t="n">
        <v>5</v>
      </c>
      <c r="J1323" t="n">
        <v>5294</v>
      </c>
      <c r="K1323" t="n">
        <v>5256</v>
      </c>
      <c r="L1323" t="inlineStr">
        <is>
          <t>L-0821</t>
        </is>
      </c>
      <c r="M1323">
        <f>F1323-G1323</f>
        <v/>
      </c>
      <c r="N1323" s="2">
        <f>M1323/F1323</f>
        <v/>
      </c>
      <c r="O1323" s="2">
        <f>I1323*J1323/60/M1323</f>
        <v/>
      </c>
      <c r="P1323" s="2">
        <f>K1323/J1323</f>
        <v/>
      </c>
      <c r="Q1323" s="2">
        <f>N1323*O1323*P1323</f>
        <v/>
      </c>
    </row>
    <row r="1324">
      <c r="A1324" t="inlineStr">
        <is>
          <t>2026-08-25</t>
        </is>
      </c>
      <c r="B1324" t="inlineStr">
        <is>
          <t>주간</t>
        </is>
      </c>
      <c r="C1324" t="inlineStr">
        <is>
          <t>P2</t>
        </is>
      </c>
      <c r="D1324" t="inlineStr">
        <is>
          <t>성형</t>
        </is>
      </c>
      <c r="E1324" t="inlineStr">
        <is>
          <t>PR-01</t>
        </is>
      </c>
      <c r="F1324" t="n">
        <v>480</v>
      </c>
      <c r="G1324" t="n">
        <v>18</v>
      </c>
      <c r="H1324" t="inlineStr">
        <is>
          <t>분말 공급 지연</t>
        </is>
      </c>
      <c r="I1324" t="n">
        <v>6</v>
      </c>
      <c r="J1324" t="n">
        <v>4301</v>
      </c>
      <c r="K1324" t="n">
        <v>4265</v>
      </c>
      <c r="L1324" t="inlineStr">
        <is>
          <t>L-0821</t>
        </is>
      </c>
      <c r="M1324">
        <f>F1324-G1324</f>
        <v/>
      </c>
      <c r="N1324" s="2">
        <f>M1324/F1324</f>
        <v/>
      </c>
      <c r="O1324" s="2">
        <f>I1324*J1324/60/M1324</f>
        <v/>
      </c>
      <c r="P1324" s="2">
        <f>K1324/J1324</f>
        <v/>
      </c>
      <c r="Q1324" s="2">
        <f>N1324*O1324*P1324</f>
        <v/>
      </c>
    </row>
    <row r="1325">
      <c r="A1325" t="inlineStr">
        <is>
          <t>2026-08-25</t>
        </is>
      </c>
      <c r="B1325" t="inlineStr">
        <is>
          <t>주간</t>
        </is>
      </c>
      <c r="C1325" t="inlineStr">
        <is>
          <t>P2</t>
        </is>
      </c>
      <c r="D1325" t="inlineStr">
        <is>
          <t>성형</t>
        </is>
      </c>
      <c r="E1325" t="inlineStr">
        <is>
          <t>PR-02</t>
        </is>
      </c>
      <c r="F1325" t="n">
        <v>480</v>
      </c>
      <c r="G1325" t="n">
        <v>15</v>
      </c>
      <c r="H1325" t="inlineStr">
        <is>
          <t>분말 공급 지연</t>
        </is>
      </c>
      <c r="I1325" t="n">
        <v>6</v>
      </c>
      <c r="J1325" t="n">
        <v>4236</v>
      </c>
      <c r="K1325" t="n">
        <v>4195</v>
      </c>
      <c r="L1325" t="inlineStr">
        <is>
          <t>L-0821</t>
        </is>
      </c>
      <c r="M1325">
        <f>F1325-G1325</f>
        <v/>
      </c>
      <c r="N1325" s="2">
        <f>M1325/F1325</f>
        <v/>
      </c>
      <c r="O1325" s="2">
        <f>I1325*J1325/60/M1325</f>
        <v/>
      </c>
      <c r="P1325" s="2">
        <f>K1325/J1325</f>
        <v/>
      </c>
      <c r="Q1325" s="2">
        <f>N1325*O1325*P1325</f>
        <v/>
      </c>
    </row>
    <row r="1326">
      <c r="A1326" t="inlineStr">
        <is>
          <t>2026-08-25</t>
        </is>
      </c>
      <c r="B1326" t="inlineStr">
        <is>
          <t>주간</t>
        </is>
      </c>
      <c r="C1326" t="inlineStr">
        <is>
          <t>P3</t>
        </is>
      </c>
      <c r="D1326" t="inlineStr">
        <is>
          <t>소결</t>
        </is>
      </c>
      <c r="E1326" t="inlineStr">
        <is>
          <t>SF-01</t>
        </is>
      </c>
      <c r="F1326" t="n">
        <v>480</v>
      </c>
      <c r="G1326" t="n">
        <v>39</v>
      </c>
      <c r="H1326" t="inlineStr">
        <is>
          <t>온도 이상 정지</t>
        </is>
      </c>
      <c r="I1326" t="n">
        <v>6.5</v>
      </c>
      <c r="J1326" t="n">
        <v>3962</v>
      </c>
      <c r="K1326" t="n">
        <v>3812</v>
      </c>
      <c r="L1326" t="inlineStr">
        <is>
          <t>L-0821</t>
        </is>
      </c>
      <c r="M1326">
        <f>F1326-G1326</f>
        <v/>
      </c>
      <c r="N1326" s="2">
        <f>M1326/F1326</f>
        <v/>
      </c>
      <c r="O1326" s="2">
        <f>I1326*J1326/60/M1326</f>
        <v/>
      </c>
      <c r="P1326" s="2">
        <f>K1326/J1326</f>
        <v/>
      </c>
      <c r="Q1326" s="2">
        <f>N1326*O1326*P1326</f>
        <v/>
      </c>
    </row>
    <row r="1327">
      <c r="A1327" t="inlineStr">
        <is>
          <t>2026-08-25</t>
        </is>
      </c>
      <c r="B1327" t="inlineStr">
        <is>
          <t>주간</t>
        </is>
      </c>
      <c r="C1327" t="inlineStr">
        <is>
          <t>P3</t>
        </is>
      </c>
      <c r="D1327" t="inlineStr">
        <is>
          <t>소결</t>
        </is>
      </c>
      <c r="E1327" t="inlineStr">
        <is>
          <t>SF-02</t>
        </is>
      </c>
      <c r="F1327" t="n">
        <v>480</v>
      </c>
      <c r="G1327" t="n">
        <v>106</v>
      </c>
      <c r="H1327" t="inlineStr">
        <is>
          <t>재가열</t>
        </is>
      </c>
      <c r="I1327" t="n">
        <v>6.5</v>
      </c>
      <c r="J1327" t="n">
        <v>2996</v>
      </c>
      <c r="K1327" t="n">
        <v>2819</v>
      </c>
      <c r="L1327" t="inlineStr">
        <is>
          <t>L-0821</t>
        </is>
      </c>
      <c r="M1327">
        <f>F1327-G1327</f>
        <v/>
      </c>
      <c r="N1327" s="2">
        <f>M1327/F1327</f>
        <v/>
      </c>
      <c r="O1327" s="2">
        <f>I1327*J1327/60/M1327</f>
        <v/>
      </c>
      <c r="P1327" s="2">
        <f>K1327/J1327</f>
        <v/>
      </c>
      <c r="Q1327" s="2">
        <f>N1327*O1327*P1327</f>
        <v/>
      </c>
    </row>
    <row r="1328">
      <c r="A1328" t="inlineStr">
        <is>
          <t>2026-08-25</t>
        </is>
      </c>
      <c r="B1328" t="inlineStr">
        <is>
          <t>주간</t>
        </is>
      </c>
      <c r="C1328" t="inlineStr">
        <is>
          <t>P4</t>
        </is>
      </c>
      <c r="D1328" t="inlineStr">
        <is>
          <t>연삭</t>
        </is>
      </c>
      <c r="E1328" t="inlineStr">
        <is>
          <t>GR-01</t>
        </is>
      </c>
      <c r="F1328" t="n">
        <v>480</v>
      </c>
      <c r="G1328" t="n">
        <v>62</v>
      </c>
      <c r="H1328" t="inlineStr">
        <is>
          <t>드레싱</t>
        </is>
      </c>
      <c r="I1328" t="n">
        <v>6.2</v>
      </c>
      <c r="J1328" t="n">
        <v>3562</v>
      </c>
      <c r="K1328" t="n">
        <v>3529</v>
      </c>
      <c r="L1328" t="inlineStr">
        <is>
          <t>L-0821</t>
        </is>
      </c>
      <c r="M1328">
        <f>F1328-G1328</f>
        <v/>
      </c>
      <c r="N1328" s="2">
        <f>M1328/F1328</f>
        <v/>
      </c>
      <c r="O1328" s="2">
        <f>I1328*J1328/60/M1328</f>
        <v/>
      </c>
      <c r="P1328" s="2">
        <f>K1328/J1328</f>
        <v/>
      </c>
      <c r="Q1328" s="2">
        <f>N1328*O1328*P1328</f>
        <v/>
      </c>
    </row>
    <row r="1329">
      <c r="A1329" t="inlineStr">
        <is>
          <t>2026-08-25</t>
        </is>
      </c>
      <c r="B1329" t="inlineStr">
        <is>
          <t>주간</t>
        </is>
      </c>
      <c r="C1329" t="inlineStr">
        <is>
          <t>P4</t>
        </is>
      </c>
      <c r="D1329" t="inlineStr">
        <is>
          <t>연삭</t>
        </is>
      </c>
      <c r="E1329" t="inlineStr">
        <is>
          <t>GR-02</t>
        </is>
      </c>
      <c r="F1329" t="n">
        <v>480</v>
      </c>
      <c r="G1329" t="n">
        <v>30</v>
      </c>
      <c r="H1329" t="inlineStr">
        <is>
          <t>공구 교체</t>
        </is>
      </c>
      <c r="I1329" t="n">
        <v>6.2</v>
      </c>
      <c r="J1329" t="n">
        <v>4044</v>
      </c>
      <c r="K1329" t="n">
        <v>4004</v>
      </c>
      <c r="L1329" t="inlineStr">
        <is>
          <t>L-0821</t>
        </is>
      </c>
      <c r="M1329">
        <f>F1329-G1329</f>
        <v/>
      </c>
      <c r="N1329" s="2">
        <f>M1329/F1329</f>
        <v/>
      </c>
      <c r="O1329" s="2">
        <f>I1329*J1329/60/M1329</f>
        <v/>
      </c>
      <c r="P1329" s="2">
        <f>K1329/J1329</f>
        <v/>
      </c>
      <c r="Q1329" s="2">
        <f>N1329*O1329*P1329</f>
        <v/>
      </c>
    </row>
    <row r="1330">
      <c r="A1330" t="inlineStr">
        <is>
          <t>2026-08-25</t>
        </is>
      </c>
      <c r="B1330" t="inlineStr">
        <is>
          <t>주간</t>
        </is>
      </c>
      <c r="C1330" t="inlineStr">
        <is>
          <t>P5</t>
        </is>
      </c>
      <c r="D1330" t="inlineStr">
        <is>
          <t>검사</t>
        </is>
      </c>
      <c r="E1330" t="inlineStr">
        <is>
          <t>IN-01</t>
        </is>
      </c>
      <c r="F1330" t="n">
        <v>480</v>
      </c>
      <c r="G1330" t="n">
        <v>71</v>
      </c>
      <c r="H1330" t="inlineStr">
        <is>
          <t>샘플 재검</t>
        </is>
      </c>
      <c r="I1330" t="n">
        <v>5.5</v>
      </c>
      <c r="J1330" t="n">
        <v>4098</v>
      </c>
      <c r="K1330" t="n">
        <v>4084</v>
      </c>
      <c r="L1330" t="inlineStr">
        <is>
          <t>L-0821</t>
        </is>
      </c>
      <c r="M1330">
        <f>F1330-G1330</f>
        <v/>
      </c>
      <c r="N1330" s="2">
        <f>M1330/F1330</f>
        <v/>
      </c>
      <c r="O1330" s="2">
        <f>I1330*J1330/60/M1330</f>
        <v/>
      </c>
      <c r="P1330" s="2">
        <f>K1330/J1330</f>
        <v/>
      </c>
      <c r="Q1330" s="2">
        <f>N1330*O1330*P1330</f>
        <v/>
      </c>
    </row>
    <row r="1331">
      <c r="A1331" t="inlineStr">
        <is>
          <t>2026-08-25</t>
        </is>
      </c>
      <c r="B1331" t="inlineStr">
        <is>
          <t>주간</t>
        </is>
      </c>
      <c r="C1331" t="inlineStr">
        <is>
          <t>P5</t>
        </is>
      </c>
      <c r="D1331" t="inlineStr">
        <is>
          <t>검사</t>
        </is>
      </c>
      <c r="E1331" t="inlineStr">
        <is>
          <t>IN-02</t>
        </is>
      </c>
      <c r="F1331" t="n">
        <v>480</v>
      </c>
      <c r="G1331" t="n">
        <v>8</v>
      </c>
      <c r="H1331" t="inlineStr">
        <is>
          <t>샘플 재검</t>
        </is>
      </c>
      <c r="I1331" t="n">
        <v>5.5</v>
      </c>
      <c r="J1331" t="n">
        <v>4797</v>
      </c>
      <c r="K1331" t="n">
        <v>4780</v>
      </c>
      <c r="L1331" t="inlineStr">
        <is>
          <t>L-0821</t>
        </is>
      </c>
      <c r="M1331">
        <f>F1331-G1331</f>
        <v/>
      </c>
      <c r="N1331" s="2">
        <f>M1331/F1331</f>
        <v/>
      </c>
      <c r="O1331" s="2">
        <f>I1331*J1331/60/M1331</f>
        <v/>
      </c>
      <c r="P1331" s="2">
        <f>K1331/J1331</f>
        <v/>
      </c>
      <c r="Q1331" s="2">
        <f>N1331*O1331*P1331</f>
        <v/>
      </c>
    </row>
    <row r="1332">
      <c r="A1332" t="inlineStr">
        <is>
          <t>2026-08-25</t>
        </is>
      </c>
      <c r="B1332" t="inlineStr">
        <is>
          <t>주간</t>
        </is>
      </c>
      <c r="C1332" t="inlineStr">
        <is>
          <t>P6</t>
        </is>
      </c>
      <c r="D1332" t="inlineStr">
        <is>
          <t>포장</t>
        </is>
      </c>
      <c r="E1332" t="inlineStr">
        <is>
          <t>PK-01</t>
        </is>
      </c>
      <c r="F1332" t="n">
        <v>480</v>
      </c>
      <c r="G1332" t="n">
        <v>17</v>
      </c>
      <c r="H1332" t="inlineStr">
        <is>
          <t>자재 대기</t>
        </is>
      </c>
      <c r="I1332" t="n">
        <v>4.8</v>
      </c>
      <c r="J1332" t="n">
        <v>5428</v>
      </c>
      <c r="K1332" t="n">
        <v>5416</v>
      </c>
      <c r="L1332" t="inlineStr">
        <is>
          <t>L-0821</t>
        </is>
      </c>
      <c r="M1332">
        <f>F1332-G1332</f>
        <v/>
      </c>
      <c r="N1332" s="2">
        <f>M1332/F1332</f>
        <v/>
      </c>
      <c r="O1332" s="2">
        <f>I1332*J1332/60/M1332</f>
        <v/>
      </c>
      <c r="P1332" s="2">
        <f>K1332/J1332</f>
        <v/>
      </c>
      <c r="Q1332" s="2">
        <f>N1332*O1332*P1332</f>
        <v/>
      </c>
    </row>
    <row r="1333">
      <c r="A1333" t="inlineStr">
        <is>
          <t>2026-08-25</t>
        </is>
      </c>
      <c r="B1333" t="inlineStr">
        <is>
          <t>주간</t>
        </is>
      </c>
      <c r="C1333" t="inlineStr">
        <is>
          <t>P6</t>
        </is>
      </c>
      <c r="D1333" t="inlineStr">
        <is>
          <t>포장</t>
        </is>
      </c>
      <c r="E1333" t="inlineStr">
        <is>
          <t>PK-02</t>
        </is>
      </c>
      <c r="F1333" t="n">
        <v>480</v>
      </c>
      <c r="G1333" t="n">
        <v>20</v>
      </c>
      <c r="H1333" t="inlineStr">
        <is>
          <t>라벨 교체</t>
        </is>
      </c>
      <c r="I1333" t="n">
        <v>4.8</v>
      </c>
      <c r="J1333" t="n">
        <v>5546</v>
      </c>
      <c r="K1333" t="n">
        <v>5538</v>
      </c>
      <c r="L1333" t="inlineStr">
        <is>
          <t>L-0821</t>
        </is>
      </c>
      <c r="M1333">
        <f>F1333-G1333</f>
        <v/>
      </c>
      <c r="N1333" s="2">
        <f>M1333/F1333</f>
        <v/>
      </c>
      <c r="O1333" s="2">
        <f>I1333*J1333/60/M1333</f>
        <v/>
      </c>
      <c r="P1333" s="2">
        <f>K1333/J1333</f>
        <v/>
      </c>
      <c r="Q1333" s="2">
        <f>N1333*O1333*P1333</f>
        <v/>
      </c>
    </row>
    <row r="1334">
      <c r="A1334" t="inlineStr">
        <is>
          <t>2026-08-25</t>
        </is>
      </c>
      <c r="B1334" t="inlineStr">
        <is>
          <t>야간</t>
        </is>
      </c>
      <c r="C1334" t="inlineStr">
        <is>
          <t>P1</t>
        </is>
      </c>
      <c r="D1334" t="inlineStr">
        <is>
          <t>원료혼합</t>
        </is>
      </c>
      <c r="E1334" t="inlineStr">
        <is>
          <t>MX-01</t>
        </is>
      </c>
      <c r="F1334" t="n">
        <v>480</v>
      </c>
      <c r="G1334" t="n">
        <v>17</v>
      </c>
      <c r="H1334" t="inlineStr">
        <is>
          <t>청소</t>
        </is>
      </c>
      <c r="I1334" t="n">
        <v>5</v>
      </c>
      <c r="J1334" t="n">
        <v>5275</v>
      </c>
      <c r="K1334" t="n">
        <v>5240</v>
      </c>
      <c r="L1334" t="inlineStr">
        <is>
          <t>L-0821</t>
        </is>
      </c>
      <c r="M1334">
        <f>F1334-G1334</f>
        <v/>
      </c>
      <c r="N1334" s="2">
        <f>M1334/F1334</f>
        <v/>
      </c>
      <c r="O1334" s="2">
        <f>I1334*J1334/60/M1334</f>
        <v/>
      </c>
      <c r="P1334" s="2">
        <f>K1334/J1334</f>
        <v/>
      </c>
      <c r="Q1334" s="2">
        <f>N1334*O1334*P1334</f>
        <v/>
      </c>
    </row>
    <row r="1335">
      <c r="A1335" t="inlineStr">
        <is>
          <t>2026-08-25</t>
        </is>
      </c>
      <c r="B1335" t="inlineStr">
        <is>
          <t>야간</t>
        </is>
      </c>
      <c r="C1335" t="inlineStr">
        <is>
          <t>P1</t>
        </is>
      </c>
      <c r="D1335" t="inlineStr">
        <is>
          <t>원료혼합</t>
        </is>
      </c>
      <c r="E1335" t="inlineStr">
        <is>
          <t>MX-02</t>
        </is>
      </c>
      <c r="F1335" t="n">
        <v>480</v>
      </c>
      <c r="G1335" t="n">
        <v>31</v>
      </c>
      <c r="H1335" t="inlineStr">
        <is>
          <t>배합 확인</t>
        </is>
      </c>
      <c r="I1335" t="n">
        <v>5</v>
      </c>
      <c r="J1335" t="n">
        <v>4731</v>
      </c>
      <c r="K1335" t="n">
        <v>4698</v>
      </c>
      <c r="L1335" t="inlineStr">
        <is>
          <t>L-0821</t>
        </is>
      </c>
      <c r="M1335">
        <f>F1335-G1335</f>
        <v/>
      </c>
      <c r="N1335" s="2">
        <f>M1335/F1335</f>
        <v/>
      </c>
      <c r="O1335" s="2">
        <f>I1335*J1335/60/M1335</f>
        <v/>
      </c>
      <c r="P1335" s="2">
        <f>K1335/J1335</f>
        <v/>
      </c>
      <c r="Q1335" s="2">
        <f>N1335*O1335*P1335</f>
        <v/>
      </c>
    </row>
    <row r="1336">
      <c r="A1336" t="inlineStr">
        <is>
          <t>2026-08-25</t>
        </is>
      </c>
      <c r="B1336" t="inlineStr">
        <is>
          <t>야간</t>
        </is>
      </c>
      <c r="C1336" t="inlineStr">
        <is>
          <t>P2</t>
        </is>
      </c>
      <c r="D1336" t="inlineStr">
        <is>
          <t>성형</t>
        </is>
      </c>
      <c r="E1336" t="inlineStr">
        <is>
          <t>PR-01</t>
        </is>
      </c>
      <c r="F1336" t="n">
        <v>480</v>
      </c>
      <c r="G1336" t="n">
        <v>47</v>
      </c>
      <c r="H1336" t="inlineStr">
        <is>
          <t>금형 교체</t>
        </is>
      </c>
      <c r="I1336" t="n">
        <v>6</v>
      </c>
      <c r="J1336" t="n">
        <v>3976</v>
      </c>
      <c r="K1336" t="n">
        <v>3937</v>
      </c>
      <c r="L1336" t="inlineStr">
        <is>
          <t>L-0821</t>
        </is>
      </c>
      <c r="M1336">
        <f>F1336-G1336</f>
        <v/>
      </c>
      <c r="N1336" s="2">
        <f>M1336/F1336</f>
        <v/>
      </c>
      <c r="O1336" s="2">
        <f>I1336*J1336/60/M1336</f>
        <v/>
      </c>
      <c r="P1336" s="2">
        <f>K1336/J1336</f>
        <v/>
      </c>
      <c r="Q1336" s="2">
        <f>N1336*O1336*P1336</f>
        <v/>
      </c>
    </row>
    <row r="1337">
      <c r="A1337" t="inlineStr">
        <is>
          <t>2026-08-25</t>
        </is>
      </c>
      <c r="B1337" t="inlineStr">
        <is>
          <t>야간</t>
        </is>
      </c>
      <c r="C1337" t="inlineStr">
        <is>
          <t>P2</t>
        </is>
      </c>
      <c r="D1337" t="inlineStr">
        <is>
          <t>성형</t>
        </is>
      </c>
      <c r="E1337" t="inlineStr">
        <is>
          <t>PR-02</t>
        </is>
      </c>
      <c r="F1337" t="n">
        <v>480</v>
      </c>
      <c r="G1337" t="n">
        <v>53</v>
      </c>
      <c r="H1337" t="inlineStr">
        <is>
          <t>금형 교체</t>
        </is>
      </c>
      <c r="I1337" t="n">
        <v>6</v>
      </c>
      <c r="J1337" t="n">
        <v>3844</v>
      </c>
      <c r="K1337" t="n">
        <v>3800</v>
      </c>
      <c r="L1337" t="inlineStr">
        <is>
          <t>L-0821</t>
        </is>
      </c>
      <c r="M1337">
        <f>F1337-G1337</f>
        <v/>
      </c>
      <c r="N1337" s="2">
        <f>M1337/F1337</f>
        <v/>
      </c>
      <c r="O1337" s="2">
        <f>I1337*J1337/60/M1337</f>
        <v/>
      </c>
      <c r="P1337" s="2">
        <f>K1337/J1337</f>
        <v/>
      </c>
      <c r="Q1337" s="2">
        <f>N1337*O1337*P1337</f>
        <v/>
      </c>
    </row>
    <row r="1338">
      <c r="A1338" t="inlineStr">
        <is>
          <t>2026-08-25</t>
        </is>
      </c>
      <c r="B1338" t="inlineStr">
        <is>
          <t>야간</t>
        </is>
      </c>
      <c r="C1338" t="inlineStr">
        <is>
          <t>P3</t>
        </is>
      </c>
      <c r="D1338" t="inlineStr">
        <is>
          <t>소결</t>
        </is>
      </c>
      <c r="E1338" t="inlineStr">
        <is>
          <t>SF-01</t>
        </is>
      </c>
      <c r="F1338" t="n">
        <v>480</v>
      </c>
      <c r="G1338" t="n">
        <v>23</v>
      </c>
      <c r="H1338" t="inlineStr">
        <is>
          <t>온도 이상 정지</t>
        </is>
      </c>
      <c r="I1338" t="n">
        <v>6.5</v>
      </c>
      <c r="J1338" t="n">
        <v>3894</v>
      </c>
      <c r="K1338" t="n">
        <v>3786</v>
      </c>
      <c r="L1338" t="inlineStr">
        <is>
          <t>L-0821</t>
        </is>
      </c>
      <c r="M1338">
        <f>F1338-G1338</f>
        <v/>
      </c>
      <c r="N1338" s="2">
        <f>M1338/F1338</f>
        <v/>
      </c>
      <c r="O1338" s="2">
        <f>I1338*J1338/60/M1338</f>
        <v/>
      </c>
      <c r="P1338" s="2">
        <f>K1338/J1338</f>
        <v/>
      </c>
      <c r="Q1338" s="2">
        <f>N1338*O1338*P1338</f>
        <v/>
      </c>
    </row>
    <row r="1339">
      <c r="A1339" t="inlineStr">
        <is>
          <t>2026-08-25</t>
        </is>
      </c>
      <c r="B1339" t="inlineStr">
        <is>
          <t>야간</t>
        </is>
      </c>
      <c r="C1339" t="inlineStr">
        <is>
          <t>P3</t>
        </is>
      </c>
      <c r="D1339" t="inlineStr">
        <is>
          <t>소결</t>
        </is>
      </c>
      <c r="E1339" t="inlineStr">
        <is>
          <t>SF-02</t>
        </is>
      </c>
      <c r="F1339" t="n">
        <v>480</v>
      </c>
      <c r="G1339" t="n">
        <v>85</v>
      </c>
      <c r="H1339" t="inlineStr">
        <is>
          <t>재가열</t>
        </is>
      </c>
      <c r="I1339" t="n">
        <v>6.5</v>
      </c>
      <c r="J1339" t="n">
        <v>3075</v>
      </c>
      <c r="K1339" t="n">
        <v>2867</v>
      </c>
      <c r="L1339" t="inlineStr">
        <is>
          <t>L-0821</t>
        </is>
      </c>
      <c r="M1339">
        <f>F1339-G1339</f>
        <v/>
      </c>
      <c r="N1339" s="2">
        <f>M1339/F1339</f>
        <v/>
      </c>
      <c r="O1339" s="2">
        <f>I1339*J1339/60/M1339</f>
        <v/>
      </c>
      <c r="P1339" s="2">
        <f>K1339/J1339</f>
        <v/>
      </c>
      <c r="Q1339" s="2">
        <f>N1339*O1339*P1339</f>
        <v/>
      </c>
    </row>
    <row r="1340">
      <c r="A1340" t="inlineStr">
        <is>
          <t>2026-08-25</t>
        </is>
      </c>
      <c r="B1340" t="inlineStr">
        <is>
          <t>야간</t>
        </is>
      </c>
      <c r="C1340" t="inlineStr">
        <is>
          <t>P4</t>
        </is>
      </c>
      <c r="D1340" t="inlineStr">
        <is>
          <t>연삭</t>
        </is>
      </c>
      <c r="E1340" t="inlineStr">
        <is>
          <t>GR-01</t>
        </is>
      </c>
      <c r="F1340" t="n">
        <v>480</v>
      </c>
      <c r="G1340" t="n">
        <v>61</v>
      </c>
      <c r="H1340" t="inlineStr">
        <is>
          <t>공구 교체</t>
        </is>
      </c>
      <c r="I1340" t="n">
        <v>6.2</v>
      </c>
      <c r="J1340" t="n">
        <v>3800</v>
      </c>
      <c r="K1340" t="n">
        <v>3757</v>
      </c>
      <c r="L1340" t="inlineStr">
        <is>
          <t>L-0821</t>
        </is>
      </c>
      <c r="M1340">
        <f>F1340-G1340</f>
        <v/>
      </c>
      <c r="N1340" s="2">
        <f>M1340/F1340</f>
        <v/>
      </c>
      <c r="O1340" s="2">
        <f>I1340*J1340/60/M1340</f>
        <v/>
      </c>
      <c r="P1340" s="2">
        <f>K1340/J1340</f>
        <v/>
      </c>
      <c r="Q1340" s="2">
        <f>N1340*O1340*P1340</f>
        <v/>
      </c>
    </row>
    <row r="1341">
      <c r="A1341" t="inlineStr">
        <is>
          <t>2026-08-25</t>
        </is>
      </c>
      <c r="B1341" t="inlineStr">
        <is>
          <t>야간</t>
        </is>
      </c>
      <c r="C1341" t="inlineStr">
        <is>
          <t>P4</t>
        </is>
      </c>
      <c r="D1341" t="inlineStr">
        <is>
          <t>연삭</t>
        </is>
      </c>
      <c r="E1341" t="inlineStr">
        <is>
          <t>GR-02</t>
        </is>
      </c>
      <c r="F1341" t="n">
        <v>480</v>
      </c>
      <c r="G1341" t="n">
        <v>38</v>
      </c>
      <c r="H1341" t="inlineStr">
        <is>
          <t>드레싱</t>
        </is>
      </c>
      <c r="I1341" t="n">
        <v>6.2</v>
      </c>
      <c r="J1341" t="n">
        <v>4112</v>
      </c>
      <c r="K1341" t="n">
        <v>4071</v>
      </c>
      <c r="L1341" t="inlineStr">
        <is>
          <t>L-0821</t>
        </is>
      </c>
      <c r="M1341">
        <f>F1341-G1341</f>
        <v/>
      </c>
      <c r="N1341" s="2">
        <f>M1341/F1341</f>
        <v/>
      </c>
      <c r="O1341" s="2">
        <f>I1341*J1341/60/M1341</f>
        <v/>
      </c>
      <c r="P1341" s="2">
        <f>K1341/J1341</f>
        <v/>
      </c>
      <c r="Q1341" s="2">
        <f>N1341*O1341*P1341</f>
        <v/>
      </c>
    </row>
    <row r="1342">
      <c r="A1342" t="inlineStr">
        <is>
          <t>2026-08-25</t>
        </is>
      </c>
      <c r="B1342" t="inlineStr">
        <is>
          <t>야간</t>
        </is>
      </c>
      <c r="C1342" t="inlineStr">
        <is>
          <t>P5</t>
        </is>
      </c>
      <c r="D1342" t="inlineStr">
        <is>
          <t>검사</t>
        </is>
      </c>
      <c r="E1342" t="inlineStr">
        <is>
          <t>IN-01</t>
        </is>
      </c>
      <c r="F1342" t="n">
        <v>480</v>
      </c>
      <c r="G1342" t="n">
        <v>16</v>
      </c>
      <c r="H1342" t="inlineStr">
        <is>
          <t>측정기 교정</t>
        </is>
      </c>
      <c r="I1342" t="n">
        <v>5.5</v>
      </c>
      <c r="J1342" t="n">
        <v>4683</v>
      </c>
      <c r="K1342" t="n">
        <v>4664</v>
      </c>
      <c r="L1342" t="inlineStr">
        <is>
          <t>L-0821</t>
        </is>
      </c>
      <c r="M1342">
        <f>F1342-G1342</f>
        <v/>
      </c>
      <c r="N1342" s="2">
        <f>M1342/F1342</f>
        <v/>
      </c>
      <c r="O1342" s="2">
        <f>I1342*J1342/60/M1342</f>
        <v/>
      </c>
      <c r="P1342" s="2">
        <f>K1342/J1342</f>
        <v/>
      </c>
      <c r="Q1342" s="2">
        <f>N1342*O1342*P1342</f>
        <v/>
      </c>
    </row>
    <row r="1343">
      <c r="A1343" t="inlineStr">
        <is>
          <t>2026-08-25</t>
        </is>
      </c>
      <c r="B1343" t="inlineStr">
        <is>
          <t>야간</t>
        </is>
      </c>
      <c r="C1343" t="inlineStr">
        <is>
          <t>P5</t>
        </is>
      </c>
      <c r="D1343" t="inlineStr">
        <is>
          <t>검사</t>
        </is>
      </c>
      <c r="E1343" t="inlineStr">
        <is>
          <t>IN-02</t>
        </is>
      </c>
      <c r="F1343" t="n">
        <v>480</v>
      </c>
      <c r="G1343" t="n">
        <v>26</v>
      </c>
      <c r="H1343" t="inlineStr">
        <is>
          <t>샘플 재검</t>
        </is>
      </c>
      <c r="I1343" t="n">
        <v>5.5</v>
      </c>
      <c r="J1343" t="n">
        <v>4428</v>
      </c>
      <c r="K1343" t="n">
        <v>4414</v>
      </c>
      <c r="L1343" t="inlineStr">
        <is>
          <t>L-0821</t>
        </is>
      </c>
      <c r="M1343">
        <f>F1343-G1343</f>
        <v/>
      </c>
      <c r="N1343" s="2">
        <f>M1343/F1343</f>
        <v/>
      </c>
      <c r="O1343" s="2">
        <f>I1343*J1343/60/M1343</f>
        <v/>
      </c>
      <c r="P1343" s="2">
        <f>K1343/J1343</f>
        <v/>
      </c>
      <c r="Q1343" s="2">
        <f>N1343*O1343*P1343</f>
        <v/>
      </c>
    </row>
    <row r="1344">
      <c r="A1344" t="inlineStr">
        <is>
          <t>2026-08-25</t>
        </is>
      </c>
      <c r="B1344" t="inlineStr">
        <is>
          <t>야간</t>
        </is>
      </c>
      <c r="C1344" t="inlineStr">
        <is>
          <t>P6</t>
        </is>
      </c>
      <c r="D1344" t="inlineStr">
        <is>
          <t>포장</t>
        </is>
      </c>
      <c r="E1344" t="inlineStr">
        <is>
          <t>PK-01</t>
        </is>
      </c>
      <c r="F1344" t="n">
        <v>480</v>
      </c>
      <c r="G1344" t="n">
        <v>19</v>
      </c>
      <c r="H1344" t="inlineStr">
        <is>
          <t>라벨 교체</t>
        </is>
      </c>
      <c r="I1344" t="n">
        <v>4.8</v>
      </c>
      <c r="J1344" t="n">
        <v>5381</v>
      </c>
      <c r="K1344" t="n">
        <v>5363</v>
      </c>
      <c r="L1344" t="inlineStr">
        <is>
          <t>L-0821</t>
        </is>
      </c>
      <c r="M1344">
        <f>F1344-G1344</f>
        <v/>
      </c>
      <c r="N1344" s="2">
        <f>M1344/F1344</f>
        <v/>
      </c>
      <c r="O1344" s="2">
        <f>I1344*J1344/60/M1344</f>
        <v/>
      </c>
      <c r="P1344" s="2">
        <f>K1344/J1344</f>
        <v/>
      </c>
      <c r="Q1344" s="2">
        <f>N1344*O1344*P1344</f>
        <v/>
      </c>
    </row>
    <row r="1345">
      <c r="A1345" t="inlineStr">
        <is>
          <t>2026-08-25</t>
        </is>
      </c>
      <c r="B1345" t="inlineStr">
        <is>
          <t>야간</t>
        </is>
      </c>
      <c r="C1345" t="inlineStr">
        <is>
          <t>P6</t>
        </is>
      </c>
      <c r="D1345" t="inlineStr">
        <is>
          <t>포장</t>
        </is>
      </c>
      <c r="E1345" t="inlineStr">
        <is>
          <t>PK-02</t>
        </is>
      </c>
      <c r="F1345" t="n">
        <v>480</v>
      </c>
      <c r="G1345" t="n">
        <v>9</v>
      </c>
      <c r="H1345" t="inlineStr">
        <is>
          <t>자재 대기</t>
        </is>
      </c>
      <c r="I1345" t="n">
        <v>4.8</v>
      </c>
      <c r="J1345" t="n">
        <v>5500</v>
      </c>
      <c r="K1345" t="n">
        <v>5489</v>
      </c>
      <c r="L1345" t="inlineStr">
        <is>
          <t>L-0821</t>
        </is>
      </c>
      <c r="M1345">
        <f>F1345-G1345</f>
        <v/>
      </c>
      <c r="N1345" s="2">
        <f>M1345/F1345</f>
        <v/>
      </c>
      <c r="O1345" s="2">
        <f>I1345*J1345/60/M1345</f>
        <v/>
      </c>
      <c r="P1345" s="2">
        <f>K1345/J1345</f>
        <v/>
      </c>
      <c r="Q1345" s="2">
        <f>N1345*O1345*P1345</f>
        <v/>
      </c>
    </row>
    <row r="1346">
      <c r="A1346" t="inlineStr">
        <is>
          <t>2026-08-26</t>
        </is>
      </c>
      <c r="B1346" t="inlineStr">
        <is>
          <t>주간</t>
        </is>
      </c>
      <c r="C1346" t="inlineStr">
        <is>
          <t>P1</t>
        </is>
      </c>
      <c r="D1346" t="inlineStr">
        <is>
          <t>원료혼합</t>
        </is>
      </c>
      <c r="E1346" t="inlineStr">
        <is>
          <t>MX-01</t>
        </is>
      </c>
      <c r="F1346" t="n">
        <v>480</v>
      </c>
      <c r="G1346" t="n">
        <v>22</v>
      </c>
      <c r="H1346" t="inlineStr">
        <is>
          <t>청소</t>
        </is>
      </c>
      <c r="I1346" t="n">
        <v>5</v>
      </c>
      <c r="J1346" t="n">
        <v>5006</v>
      </c>
      <c r="K1346" t="n">
        <v>4981</v>
      </c>
      <c r="L1346" t="inlineStr">
        <is>
          <t>L-0821</t>
        </is>
      </c>
      <c r="M1346">
        <f>F1346-G1346</f>
        <v/>
      </c>
      <c r="N1346" s="2">
        <f>M1346/F1346</f>
        <v/>
      </c>
      <c r="O1346" s="2">
        <f>I1346*J1346/60/M1346</f>
        <v/>
      </c>
      <c r="P1346" s="2">
        <f>K1346/J1346</f>
        <v/>
      </c>
      <c r="Q1346" s="2">
        <f>N1346*O1346*P1346</f>
        <v/>
      </c>
    </row>
    <row r="1347">
      <c r="A1347" t="inlineStr">
        <is>
          <t>2026-08-26</t>
        </is>
      </c>
      <c r="B1347" t="inlineStr">
        <is>
          <t>주간</t>
        </is>
      </c>
      <c r="C1347" t="inlineStr">
        <is>
          <t>P1</t>
        </is>
      </c>
      <c r="D1347" t="inlineStr">
        <is>
          <t>원료혼합</t>
        </is>
      </c>
      <c r="E1347" t="inlineStr">
        <is>
          <t>MX-02</t>
        </is>
      </c>
      <c r="F1347" t="n">
        <v>480</v>
      </c>
      <c r="G1347" t="n">
        <v>31</v>
      </c>
      <c r="H1347" t="inlineStr">
        <is>
          <t>배합 확인</t>
        </is>
      </c>
      <c r="I1347" t="n">
        <v>5</v>
      </c>
      <c r="J1347" t="n">
        <v>5024</v>
      </c>
      <c r="K1347" t="n">
        <v>4992</v>
      </c>
      <c r="L1347" t="inlineStr">
        <is>
          <t>L-0821</t>
        </is>
      </c>
      <c r="M1347">
        <f>F1347-G1347</f>
        <v/>
      </c>
      <c r="N1347" s="2">
        <f>M1347/F1347</f>
        <v/>
      </c>
      <c r="O1347" s="2">
        <f>I1347*J1347/60/M1347</f>
        <v/>
      </c>
      <c r="P1347" s="2">
        <f>K1347/J1347</f>
        <v/>
      </c>
      <c r="Q1347" s="2">
        <f>N1347*O1347*P1347</f>
        <v/>
      </c>
    </row>
    <row r="1348">
      <c r="A1348" t="inlineStr">
        <is>
          <t>2026-08-26</t>
        </is>
      </c>
      <c r="B1348" t="inlineStr">
        <is>
          <t>주간</t>
        </is>
      </c>
      <c r="C1348" t="inlineStr">
        <is>
          <t>P2</t>
        </is>
      </c>
      <c r="D1348" t="inlineStr">
        <is>
          <t>성형</t>
        </is>
      </c>
      <c r="E1348" t="inlineStr">
        <is>
          <t>PR-01</t>
        </is>
      </c>
      <c r="F1348" t="n">
        <v>480</v>
      </c>
      <c r="G1348" t="n">
        <v>41</v>
      </c>
      <c r="H1348" t="inlineStr">
        <is>
          <t>금형 교체</t>
        </is>
      </c>
      <c r="I1348" t="n">
        <v>6</v>
      </c>
      <c r="J1348" t="n">
        <v>4079</v>
      </c>
      <c r="K1348" t="n">
        <v>4039</v>
      </c>
      <c r="L1348" t="inlineStr">
        <is>
          <t>L-0821</t>
        </is>
      </c>
      <c r="M1348">
        <f>F1348-G1348</f>
        <v/>
      </c>
      <c r="N1348" s="2">
        <f>M1348/F1348</f>
        <v/>
      </c>
      <c r="O1348" s="2">
        <f>I1348*J1348/60/M1348</f>
        <v/>
      </c>
      <c r="P1348" s="2">
        <f>K1348/J1348</f>
        <v/>
      </c>
      <c r="Q1348" s="2">
        <f>N1348*O1348*P1348</f>
        <v/>
      </c>
    </row>
    <row r="1349">
      <c r="A1349" t="inlineStr">
        <is>
          <t>2026-08-26</t>
        </is>
      </c>
      <c r="B1349" t="inlineStr">
        <is>
          <t>주간</t>
        </is>
      </c>
      <c r="C1349" t="inlineStr">
        <is>
          <t>P2</t>
        </is>
      </c>
      <c r="D1349" t="inlineStr">
        <is>
          <t>성형</t>
        </is>
      </c>
      <c r="E1349" t="inlineStr">
        <is>
          <t>PR-02</t>
        </is>
      </c>
      <c r="F1349" t="n">
        <v>480</v>
      </c>
      <c r="G1349" t="n">
        <v>12</v>
      </c>
      <c r="H1349" t="inlineStr">
        <is>
          <t>금형 교체</t>
        </is>
      </c>
      <c r="I1349" t="n">
        <v>6</v>
      </c>
      <c r="J1349" t="n">
        <v>3982</v>
      </c>
      <c r="K1349" t="n">
        <v>3943</v>
      </c>
      <c r="L1349" t="inlineStr">
        <is>
          <t>L-0821</t>
        </is>
      </c>
      <c r="M1349">
        <f>F1349-G1349</f>
        <v/>
      </c>
      <c r="N1349" s="2">
        <f>M1349/F1349</f>
        <v/>
      </c>
      <c r="O1349" s="2">
        <f>I1349*J1349/60/M1349</f>
        <v/>
      </c>
      <c r="P1349" s="2">
        <f>K1349/J1349</f>
        <v/>
      </c>
      <c r="Q1349" s="2">
        <f>N1349*O1349*P1349</f>
        <v/>
      </c>
    </row>
    <row r="1350">
      <c r="A1350" t="inlineStr">
        <is>
          <t>2026-08-26</t>
        </is>
      </c>
      <c r="B1350" t="inlineStr">
        <is>
          <t>주간</t>
        </is>
      </c>
      <c r="C1350" t="inlineStr">
        <is>
          <t>P3</t>
        </is>
      </c>
      <c r="D1350" t="inlineStr">
        <is>
          <t>소결</t>
        </is>
      </c>
      <c r="E1350" t="inlineStr">
        <is>
          <t>SF-01</t>
        </is>
      </c>
      <c r="F1350" t="n">
        <v>480</v>
      </c>
      <c r="G1350" t="n">
        <v>30</v>
      </c>
      <c r="H1350" t="inlineStr">
        <is>
          <t>온도 이상 정지</t>
        </is>
      </c>
      <c r="I1350" t="n">
        <v>6.5</v>
      </c>
      <c r="J1350" t="n">
        <v>3947</v>
      </c>
      <c r="K1350" t="n">
        <v>3873</v>
      </c>
      <c r="L1350" t="inlineStr">
        <is>
          <t>L-0821</t>
        </is>
      </c>
      <c r="M1350">
        <f>F1350-G1350</f>
        <v/>
      </c>
      <c r="N1350" s="2">
        <f>M1350/F1350</f>
        <v/>
      </c>
      <c r="O1350" s="2">
        <f>I1350*J1350/60/M1350</f>
        <v/>
      </c>
      <c r="P1350" s="2">
        <f>K1350/J1350</f>
        <v/>
      </c>
      <c r="Q1350" s="2">
        <f>N1350*O1350*P1350</f>
        <v/>
      </c>
    </row>
    <row r="1351">
      <c r="A1351" t="inlineStr">
        <is>
          <t>2026-08-26</t>
        </is>
      </c>
      <c r="B1351" t="inlineStr">
        <is>
          <t>주간</t>
        </is>
      </c>
      <c r="C1351" t="inlineStr">
        <is>
          <t>P3</t>
        </is>
      </c>
      <c r="D1351" t="inlineStr">
        <is>
          <t>소결</t>
        </is>
      </c>
      <c r="E1351" t="inlineStr">
        <is>
          <t>SF-02</t>
        </is>
      </c>
      <c r="F1351" t="n">
        <v>480</v>
      </c>
      <c r="G1351" t="n">
        <v>120</v>
      </c>
      <c r="H1351" t="inlineStr">
        <is>
          <t>재가열</t>
        </is>
      </c>
      <c r="I1351" t="n">
        <v>6.5</v>
      </c>
      <c r="J1351" t="n">
        <v>2867</v>
      </c>
      <c r="K1351" t="n">
        <v>2653</v>
      </c>
      <c r="L1351" t="inlineStr">
        <is>
          <t>L-0821</t>
        </is>
      </c>
      <c r="M1351">
        <f>F1351-G1351</f>
        <v/>
      </c>
      <c r="N1351" s="2">
        <f>M1351/F1351</f>
        <v/>
      </c>
      <c r="O1351" s="2">
        <f>I1351*J1351/60/M1351</f>
        <v/>
      </c>
      <c r="P1351" s="2">
        <f>K1351/J1351</f>
        <v/>
      </c>
      <c r="Q1351" s="2">
        <f>N1351*O1351*P1351</f>
        <v/>
      </c>
    </row>
    <row r="1352">
      <c r="A1352" t="inlineStr">
        <is>
          <t>2026-08-26</t>
        </is>
      </c>
      <c r="B1352" t="inlineStr">
        <is>
          <t>주간</t>
        </is>
      </c>
      <c r="C1352" t="inlineStr">
        <is>
          <t>P4</t>
        </is>
      </c>
      <c r="D1352" t="inlineStr">
        <is>
          <t>연삭</t>
        </is>
      </c>
      <c r="E1352" t="inlineStr">
        <is>
          <t>GR-01</t>
        </is>
      </c>
      <c r="F1352" t="n">
        <v>480</v>
      </c>
      <c r="G1352" t="n">
        <v>54</v>
      </c>
      <c r="H1352" t="inlineStr">
        <is>
          <t>드레싱</t>
        </is>
      </c>
      <c r="I1352" t="n">
        <v>6.2</v>
      </c>
      <c r="J1352" t="n">
        <v>3936</v>
      </c>
      <c r="K1352" t="n">
        <v>3902</v>
      </c>
      <c r="L1352" t="inlineStr">
        <is>
          <t>L-0821</t>
        </is>
      </c>
      <c r="M1352">
        <f>F1352-G1352</f>
        <v/>
      </c>
      <c r="N1352" s="2">
        <f>M1352/F1352</f>
        <v/>
      </c>
      <c r="O1352" s="2">
        <f>I1352*J1352/60/M1352</f>
        <v/>
      </c>
      <c r="P1352" s="2">
        <f>K1352/J1352</f>
        <v/>
      </c>
      <c r="Q1352" s="2">
        <f>N1352*O1352*P1352</f>
        <v/>
      </c>
    </row>
    <row r="1353">
      <c r="A1353" t="inlineStr">
        <is>
          <t>2026-08-26</t>
        </is>
      </c>
      <c r="B1353" t="inlineStr">
        <is>
          <t>주간</t>
        </is>
      </c>
      <c r="C1353" t="inlineStr">
        <is>
          <t>P4</t>
        </is>
      </c>
      <c r="D1353" t="inlineStr">
        <is>
          <t>연삭</t>
        </is>
      </c>
      <c r="E1353" t="inlineStr">
        <is>
          <t>GR-02</t>
        </is>
      </c>
      <c r="F1353" t="n">
        <v>480</v>
      </c>
      <c r="G1353" t="n">
        <v>83</v>
      </c>
      <c r="H1353" t="inlineStr">
        <is>
          <t>공구 교체</t>
        </is>
      </c>
      <c r="I1353" t="n">
        <v>6.2</v>
      </c>
      <c r="J1353" t="n">
        <v>3556</v>
      </c>
      <c r="K1353" t="n">
        <v>3529</v>
      </c>
      <c r="L1353" t="inlineStr">
        <is>
          <t>L-0821</t>
        </is>
      </c>
      <c r="M1353">
        <f>F1353-G1353</f>
        <v/>
      </c>
      <c r="N1353" s="2">
        <f>M1353/F1353</f>
        <v/>
      </c>
      <c r="O1353" s="2">
        <f>I1353*J1353/60/M1353</f>
        <v/>
      </c>
      <c r="P1353" s="2">
        <f>K1353/J1353</f>
        <v/>
      </c>
      <c r="Q1353" s="2">
        <f>N1353*O1353*P1353</f>
        <v/>
      </c>
    </row>
    <row r="1354">
      <c r="A1354" t="inlineStr">
        <is>
          <t>2026-08-26</t>
        </is>
      </c>
      <c r="B1354" t="inlineStr">
        <is>
          <t>주간</t>
        </is>
      </c>
      <c r="C1354" t="inlineStr">
        <is>
          <t>P5</t>
        </is>
      </c>
      <c r="D1354" t="inlineStr">
        <is>
          <t>검사</t>
        </is>
      </c>
      <c r="E1354" t="inlineStr">
        <is>
          <t>IN-01</t>
        </is>
      </c>
      <c r="F1354" t="n">
        <v>480</v>
      </c>
      <c r="G1354" t="n">
        <v>10</v>
      </c>
      <c r="H1354" t="inlineStr">
        <is>
          <t>샘플 재검</t>
        </is>
      </c>
      <c r="I1354" t="n">
        <v>5.5</v>
      </c>
      <c r="J1354" t="n">
        <v>4646</v>
      </c>
      <c r="K1354" t="n">
        <v>4632</v>
      </c>
      <c r="L1354" t="inlineStr">
        <is>
          <t>L-0821</t>
        </is>
      </c>
      <c r="M1354">
        <f>F1354-G1354</f>
        <v/>
      </c>
      <c r="N1354" s="2">
        <f>M1354/F1354</f>
        <v/>
      </c>
      <c r="O1354" s="2">
        <f>I1354*J1354/60/M1354</f>
        <v/>
      </c>
      <c r="P1354" s="2">
        <f>K1354/J1354</f>
        <v/>
      </c>
      <c r="Q1354" s="2">
        <f>N1354*O1354*P1354</f>
        <v/>
      </c>
    </row>
    <row r="1355">
      <c r="A1355" t="inlineStr">
        <is>
          <t>2026-08-26</t>
        </is>
      </c>
      <c r="B1355" t="inlineStr">
        <is>
          <t>주간</t>
        </is>
      </c>
      <c r="C1355" t="inlineStr">
        <is>
          <t>P5</t>
        </is>
      </c>
      <c r="D1355" t="inlineStr">
        <is>
          <t>검사</t>
        </is>
      </c>
      <c r="E1355" t="inlineStr">
        <is>
          <t>IN-02</t>
        </is>
      </c>
      <c r="F1355" t="n">
        <v>480</v>
      </c>
      <c r="G1355" t="n">
        <v>17</v>
      </c>
      <c r="H1355" t="inlineStr">
        <is>
          <t>측정기 교정</t>
        </is>
      </c>
      <c r="I1355" t="n">
        <v>5.5</v>
      </c>
      <c r="J1355" t="n">
        <v>4754</v>
      </c>
      <c r="K1355" t="n">
        <v>4739</v>
      </c>
      <c r="L1355" t="inlineStr">
        <is>
          <t>L-0821</t>
        </is>
      </c>
      <c r="M1355">
        <f>F1355-G1355</f>
        <v/>
      </c>
      <c r="N1355" s="2">
        <f>M1355/F1355</f>
        <v/>
      </c>
      <c r="O1355" s="2">
        <f>I1355*J1355/60/M1355</f>
        <v/>
      </c>
      <c r="P1355" s="2">
        <f>K1355/J1355</f>
        <v/>
      </c>
      <c r="Q1355" s="2">
        <f>N1355*O1355*P1355</f>
        <v/>
      </c>
    </row>
    <row r="1356">
      <c r="A1356" t="inlineStr">
        <is>
          <t>2026-08-26</t>
        </is>
      </c>
      <c r="B1356" t="inlineStr">
        <is>
          <t>주간</t>
        </is>
      </c>
      <c r="C1356" t="inlineStr">
        <is>
          <t>P6</t>
        </is>
      </c>
      <c r="D1356" t="inlineStr">
        <is>
          <t>포장</t>
        </is>
      </c>
      <c r="E1356" t="inlineStr">
        <is>
          <t>PK-01</t>
        </is>
      </c>
      <c r="F1356" t="n">
        <v>480</v>
      </c>
      <c r="G1356" t="n">
        <v>26</v>
      </c>
      <c r="H1356" t="inlineStr">
        <is>
          <t>라벨 교체</t>
        </is>
      </c>
      <c r="I1356" t="n">
        <v>4.8</v>
      </c>
      <c r="J1356" t="n">
        <v>5311</v>
      </c>
      <c r="K1356" t="n">
        <v>5301</v>
      </c>
      <c r="L1356" t="inlineStr">
        <is>
          <t>L-0821</t>
        </is>
      </c>
      <c r="M1356">
        <f>F1356-G1356</f>
        <v/>
      </c>
      <c r="N1356" s="2">
        <f>M1356/F1356</f>
        <v/>
      </c>
      <c r="O1356" s="2">
        <f>I1356*J1356/60/M1356</f>
        <v/>
      </c>
      <c r="P1356" s="2">
        <f>K1356/J1356</f>
        <v/>
      </c>
      <c r="Q1356" s="2">
        <f>N1356*O1356*P1356</f>
        <v/>
      </c>
    </row>
    <row r="1357">
      <c r="A1357" t="inlineStr">
        <is>
          <t>2026-08-26</t>
        </is>
      </c>
      <c r="B1357" t="inlineStr">
        <is>
          <t>주간</t>
        </is>
      </c>
      <c r="C1357" t="inlineStr">
        <is>
          <t>P6</t>
        </is>
      </c>
      <c r="D1357" t="inlineStr">
        <is>
          <t>포장</t>
        </is>
      </c>
      <c r="E1357" t="inlineStr">
        <is>
          <t>PK-02</t>
        </is>
      </c>
      <c r="F1357" t="n">
        <v>480</v>
      </c>
      <c r="G1357" t="n">
        <v>19</v>
      </c>
      <c r="H1357" t="inlineStr">
        <is>
          <t>라벨 교체</t>
        </is>
      </c>
      <c r="I1357" t="n">
        <v>4.8</v>
      </c>
      <c r="J1357" t="n">
        <v>5443</v>
      </c>
      <c r="K1357" t="n">
        <v>5431</v>
      </c>
      <c r="L1357" t="inlineStr">
        <is>
          <t>L-0821</t>
        </is>
      </c>
      <c r="M1357">
        <f>F1357-G1357</f>
        <v/>
      </c>
      <c r="N1357" s="2">
        <f>M1357/F1357</f>
        <v/>
      </c>
      <c r="O1357" s="2">
        <f>I1357*J1357/60/M1357</f>
        <v/>
      </c>
      <c r="P1357" s="2">
        <f>K1357/J1357</f>
        <v/>
      </c>
      <c r="Q1357" s="2">
        <f>N1357*O1357*P1357</f>
        <v/>
      </c>
    </row>
    <row r="1358">
      <c r="A1358" t="inlineStr">
        <is>
          <t>2026-08-26</t>
        </is>
      </c>
      <c r="B1358" t="inlineStr">
        <is>
          <t>야간</t>
        </is>
      </c>
      <c r="C1358" t="inlineStr">
        <is>
          <t>P1</t>
        </is>
      </c>
      <c r="D1358" t="inlineStr">
        <is>
          <t>원료혼합</t>
        </is>
      </c>
      <c r="E1358" t="inlineStr">
        <is>
          <t>MX-01</t>
        </is>
      </c>
      <c r="F1358" t="n">
        <v>480</v>
      </c>
      <c r="G1358" t="n">
        <v>10</v>
      </c>
      <c r="H1358" t="inlineStr">
        <is>
          <t>원료 대기</t>
        </is>
      </c>
      <c r="I1358" t="n">
        <v>5</v>
      </c>
      <c r="J1358" t="n">
        <v>5490</v>
      </c>
      <c r="K1358" t="n">
        <v>5451</v>
      </c>
      <c r="L1358" t="inlineStr">
        <is>
          <t>L-0821</t>
        </is>
      </c>
      <c r="M1358">
        <f>F1358-G1358</f>
        <v/>
      </c>
      <c r="N1358" s="2">
        <f>M1358/F1358</f>
        <v/>
      </c>
      <c r="O1358" s="2">
        <f>I1358*J1358/60/M1358</f>
        <v/>
      </c>
      <c r="P1358" s="2">
        <f>K1358/J1358</f>
        <v/>
      </c>
      <c r="Q1358" s="2">
        <f>N1358*O1358*P1358</f>
        <v/>
      </c>
    </row>
    <row r="1359">
      <c r="A1359" t="inlineStr">
        <is>
          <t>2026-08-26</t>
        </is>
      </c>
      <c r="B1359" t="inlineStr">
        <is>
          <t>야간</t>
        </is>
      </c>
      <c r="C1359" t="inlineStr">
        <is>
          <t>P1</t>
        </is>
      </c>
      <c r="D1359" t="inlineStr">
        <is>
          <t>원료혼합</t>
        </is>
      </c>
      <c r="E1359" t="inlineStr">
        <is>
          <t>MX-02</t>
        </is>
      </c>
      <c r="F1359" t="n">
        <v>480</v>
      </c>
      <c r="G1359" t="n">
        <v>47</v>
      </c>
      <c r="H1359" t="inlineStr">
        <is>
          <t>배합 확인</t>
        </is>
      </c>
      <c r="I1359" t="n">
        <v>5</v>
      </c>
      <c r="J1359" t="n">
        <v>4846</v>
      </c>
      <c r="K1359" t="n">
        <v>4811</v>
      </c>
      <c r="L1359" t="inlineStr">
        <is>
          <t>L-0821</t>
        </is>
      </c>
      <c r="M1359">
        <f>F1359-G1359</f>
        <v/>
      </c>
      <c r="N1359" s="2">
        <f>M1359/F1359</f>
        <v/>
      </c>
      <c r="O1359" s="2">
        <f>I1359*J1359/60/M1359</f>
        <v/>
      </c>
      <c r="P1359" s="2">
        <f>K1359/J1359</f>
        <v/>
      </c>
      <c r="Q1359" s="2">
        <f>N1359*O1359*P1359</f>
        <v/>
      </c>
    </row>
    <row r="1360">
      <c r="A1360" t="inlineStr">
        <is>
          <t>2026-08-26</t>
        </is>
      </c>
      <c r="B1360" t="inlineStr">
        <is>
          <t>야간</t>
        </is>
      </c>
      <c r="C1360" t="inlineStr">
        <is>
          <t>P2</t>
        </is>
      </c>
      <c r="D1360" t="inlineStr">
        <is>
          <t>성형</t>
        </is>
      </c>
      <c r="E1360" t="inlineStr">
        <is>
          <t>PR-01</t>
        </is>
      </c>
      <c r="F1360" t="n">
        <v>480</v>
      </c>
      <c r="G1360" t="n">
        <v>8</v>
      </c>
      <c r="H1360" t="inlineStr">
        <is>
          <t>분말 공급 지연</t>
        </is>
      </c>
      <c r="I1360" t="n">
        <v>6</v>
      </c>
      <c r="J1360" t="n">
        <v>4087</v>
      </c>
      <c r="K1360" t="n">
        <v>4049</v>
      </c>
      <c r="L1360" t="inlineStr">
        <is>
          <t>L-0821</t>
        </is>
      </c>
      <c r="M1360">
        <f>F1360-G1360</f>
        <v/>
      </c>
      <c r="N1360" s="2">
        <f>M1360/F1360</f>
        <v/>
      </c>
      <c r="O1360" s="2">
        <f>I1360*J1360/60/M1360</f>
        <v/>
      </c>
      <c r="P1360" s="2">
        <f>K1360/J1360</f>
        <v/>
      </c>
      <c r="Q1360" s="2">
        <f>N1360*O1360*P1360</f>
        <v/>
      </c>
    </row>
    <row r="1361">
      <c r="A1361" t="inlineStr">
        <is>
          <t>2026-08-26</t>
        </is>
      </c>
      <c r="B1361" t="inlineStr">
        <is>
          <t>야간</t>
        </is>
      </c>
      <c r="C1361" t="inlineStr">
        <is>
          <t>P2</t>
        </is>
      </c>
      <c r="D1361" t="inlineStr">
        <is>
          <t>성형</t>
        </is>
      </c>
      <c r="E1361" t="inlineStr">
        <is>
          <t>PR-02</t>
        </is>
      </c>
      <c r="F1361" t="n">
        <v>480</v>
      </c>
      <c r="G1361" t="n">
        <v>48</v>
      </c>
      <c r="H1361" t="inlineStr">
        <is>
          <t>금형 교체</t>
        </is>
      </c>
      <c r="I1361" t="n">
        <v>6</v>
      </c>
      <c r="J1361" t="n">
        <v>4135</v>
      </c>
      <c r="K1361" t="n">
        <v>4085</v>
      </c>
      <c r="L1361" t="inlineStr">
        <is>
          <t>L-0821</t>
        </is>
      </c>
      <c r="M1361">
        <f>F1361-G1361</f>
        <v/>
      </c>
      <c r="N1361" s="2">
        <f>M1361/F1361</f>
        <v/>
      </c>
      <c r="O1361" s="2">
        <f>I1361*J1361/60/M1361</f>
        <v/>
      </c>
      <c r="P1361" s="2">
        <f>K1361/J1361</f>
        <v/>
      </c>
      <c r="Q1361" s="2">
        <f>N1361*O1361*P1361</f>
        <v/>
      </c>
    </row>
    <row r="1362">
      <c r="A1362" t="inlineStr">
        <is>
          <t>2026-08-26</t>
        </is>
      </c>
      <c r="B1362" t="inlineStr">
        <is>
          <t>야간</t>
        </is>
      </c>
      <c r="C1362" t="inlineStr">
        <is>
          <t>P3</t>
        </is>
      </c>
      <c r="D1362" t="inlineStr">
        <is>
          <t>소결</t>
        </is>
      </c>
      <c r="E1362" t="inlineStr">
        <is>
          <t>SF-01</t>
        </is>
      </c>
      <c r="F1362" t="n">
        <v>480</v>
      </c>
      <c r="G1362" t="n">
        <v>23</v>
      </c>
      <c r="H1362" t="inlineStr">
        <is>
          <t>재가열</t>
        </is>
      </c>
      <c r="I1362" t="n">
        <v>6.5</v>
      </c>
      <c r="J1362" t="n">
        <v>3892</v>
      </c>
      <c r="K1362" t="n">
        <v>3814</v>
      </c>
      <c r="L1362" t="inlineStr">
        <is>
          <t>L-0821</t>
        </is>
      </c>
      <c r="M1362">
        <f>F1362-G1362</f>
        <v/>
      </c>
      <c r="N1362" s="2">
        <f>M1362/F1362</f>
        <v/>
      </c>
      <c r="O1362" s="2">
        <f>I1362*J1362/60/M1362</f>
        <v/>
      </c>
      <c r="P1362" s="2">
        <f>K1362/J1362</f>
        <v/>
      </c>
      <c r="Q1362" s="2">
        <f>N1362*O1362*P1362</f>
        <v/>
      </c>
    </row>
    <row r="1363">
      <c r="A1363" t="inlineStr">
        <is>
          <t>2026-08-26</t>
        </is>
      </c>
      <c r="B1363" t="inlineStr">
        <is>
          <t>야간</t>
        </is>
      </c>
      <c r="C1363" t="inlineStr">
        <is>
          <t>P3</t>
        </is>
      </c>
      <c r="D1363" t="inlineStr">
        <is>
          <t>소결</t>
        </is>
      </c>
      <c r="E1363" t="inlineStr">
        <is>
          <t>SF-02</t>
        </is>
      </c>
      <c r="F1363" t="n">
        <v>480</v>
      </c>
      <c r="G1363" t="n">
        <v>65</v>
      </c>
      <c r="H1363" t="inlineStr">
        <is>
          <t>재가열</t>
        </is>
      </c>
      <c r="I1363" t="n">
        <v>6.5</v>
      </c>
      <c r="J1363" t="n">
        <v>3411</v>
      </c>
      <c r="K1363" t="n">
        <v>3178</v>
      </c>
      <c r="L1363" t="inlineStr">
        <is>
          <t>L-0821</t>
        </is>
      </c>
      <c r="M1363">
        <f>F1363-G1363</f>
        <v/>
      </c>
      <c r="N1363" s="2">
        <f>M1363/F1363</f>
        <v/>
      </c>
      <c r="O1363" s="2">
        <f>I1363*J1363/60/M1363</f>
        <v/>
      </c>
      <c r="P1363" s="2">
        <f>K1363/J1363</f>
        <v/>
      </c>
      <c r="Q1363" s="2">
        <f>N1363*O1363*P1363</f>
        <v/>
      </c>
    </row>
    <row r="1364">
      <c r="A1364" t="inlineStr">
        <is>
          <t>2026-08-26</t>
        </is>
      </c>
      <c r="B1364" t="inlineStr">
        <is>
          <t>야간</t>
        </is>
      </c>
      <c r="C1364" t="inlineStr">
        <is>
          <t>P4</t>
        </is>
      </c>
      <c r="D1364" t="inlineStr">
        <is>
          <t>연삭</t>
        </is>
      </c>
      <c r="E1364" t="inlineStr">
        <is>
          <t>GR-01</t>
        </is>
      </c>
      <c r="F1364" t="n">
        <v>480</v>
      </c>
      <c r="G1364" t="n">
        <v>66</v>
      </c>
      <c r="H1364" t="inlineStr">
        <is>
          <t>공구 교체</t>
        </is>
      </c>
      <c r="I1364" t="n">
        <v>6.2</v>
      </c>
      <c r="J1364" t="n">
        <v>3743</v>
      </c>
      <c r="K1364" t="n">
        <v>3707</v>
      </c>
      <c r="L1364" t="inlineStr">
        <is>
          <t>L-0821</t>
        </is>
      </c>
      <c r="M1364">
        <f>F1364-G1364</f>
        <v/>
      </c>
      <c r="N1364" s="2">
        <f>M1364/F1364</f>
        <v/>
      </c>
      <c r="O1364" s="2">
        <f>I1364*J1364/60/M1364</f>
        <v/>
      </c>
      <c r="P1364" s="2">
        <f>K1364/J1364</f>
        <v/>
      </c>
      <c r="Q1364" s="2">
        <f>N1364*O1364*P1364</f>
        <v/>
      </c>
    </row>
    <row r="1365">
      <c r="A1365" t="inlineStr">
        <is>
          <t>2026-08-26</t>
        </is>
      </c>
      <c r="B1365" t="inlineStr">
        <is>
          <t>야간</t>
        </is>
      </c>
      <c r="C1365" t="inlineStr">
        <is>
          <t>P4</t>
        </is>
      </c>
      <c r="D1365" t="inlineStr">
        <is>
          <t>연삭</t>
        </is>
      </c>
      <c r="E1365" t="inlineStr">
        <is>
          <t>GR-02</t>
        </is>
      </c>
      <c r="F1365" t="n">
        <v>480</v>
      </c>
      <c r="G1365" t="n">
        <v>39</v>
      </c>
      <c r="H1365" t="inlineStr">
        <is>
          <t>공구 교체</t>
        </is>
      </c>
      <c r="I1365" t="n">
        <v>6.2</v>
      </c>
      <c r="J1365" t="n">
        <v>3841</v>
      </c>
      <c r="K1365" t="n">
        <v>3792</v>
      </c>
      <c r="L1365" t="inlineStr">
        <is>
          <t>L-0821</t>
        </is>
      </c>
      <c r="M1365">
        <f>F1365-G1365</f>
        <v/>
      </c>
      <c r="N1365" s="2">
        <f>M1365/F1365</f>
        <v/>
      </c>
      <c r="O1365" s="2">
        <f>I1365*J1365/60/M1365</f>
        <v/>
      </c>
      <c r="P1365" s="2">
        <f>K1365/J1365</f>
        <v/>
      </c>
      <c r="Q1365" s="2">
        <f>N1365*O1365*P1365</f>
        <v/>
      </c>
    </row>
    <row r="1366">
      <c r="A1366" t="inlineStr">
        <is>
          <t>2026-08-26</t>
        </is>
      </c>
      <c r="B1366" t="inlineStr">
        <is>
          <t>야간</t>
        </is>
      </c>
      <c r="C1366" t="inlineStr">
        <is>
          <t>P5</t>
        </is>
      </c>
      <c r="D1366" t="inlineStr">
        <is>
          <t>검사</t>
        </is>
      </c>
      <c r="E1366" t="inlineStr">
        <is>
          <t>IN-01</t>
        </is>
      </c>
      <c r="F1366" t="n">
        <v>480</v>
      </c>
      <c r="G1366" t="n">
        <v>37</v>
      </c>
      <c r="H1366" t="inlineStr">
        <is>
          <t>샘플 재검</t>
        </is>
      </c>
      <c r="I1366" t="n">
        <v>5.5</v>
      </c>
      <c r="J1366" t="n">
        <v>4531</v>
      </c>
      <c r="K1366" t="n">
        <v>4511</v>
      </c>
      <c r="L1366" t="inlineStr">
        <is>
          <t>L-0821</t>
        </is>
      </c>
      <c r="M1366">
        <f>F1366-G1366</f>
        <v/>
      </c>
      <c r="N1366" s="2">
        <f>M1366/F1366</f>
        <v/>
      </c>
      <c r="O1366" s="2">
        <f>I1366*J1366/60/M1366</f>
        <v/>
      </c>
      <c r="P1366" s="2">
        <f>K1366/J1366</f>
        <v/>
      </c>
      <c r="Q1366" s="2">
        <f>N1366*O1366*P1366</f>
        <v/>
      </c>
    </row>
    <row r="1367">
      <c r="A1367" t="inlineStr">
        <is>
          <t>2026-08-26</t>
        </is>
      </c>
      <c r="B1367" t="inlineStr">
        <is>
          <t>야간</t>
        </is>
      </c>
      <c r="C1367" t="inlineStr">
        <is>
          <t>P5</t>
        </is>
      </c>
      <c r="D1367" t="inlineStr">
        <is>
          <t>검사</t>
        </is>
      </c>
      <c r="E1367" t="inlineStr">
        <is>
          <t>IN-02</t>
        </is>
      </c>
      <c r="F1367" t="n">
        <v>480</v>
      </c>
      <c r="G1367" t="n">
        <v>14</v>
      </c>
      <c r="H1367" t="inlineStr">
        <is>
          <t>측정기 교정</t>
        </is>
      </c>
      <c r="I1367" t="n">
        <v>5.5</v>
      </c>
      <c r="J1367" t="n">
        <v>4842</v>
      </c>
      <c r="K1367" t="n">
        <v>4823</v>
      </c>
      <c r="L1367" t="inlineStr">
        <is>
          <t>L-0821</t>
        </is>
      </c>
      <c r="M1367">
        <f>F1367-G1367</f>
        <v/>
      </c>
      <c r="N1367" s="2">
        <f>M1367/F1367</f>
        <v/>
      </c>
      <c r="O1367" s="2">
        <f>I1367*J1367/60/M1367</f>
        <v/>
      </c>
      <c r="P1367" s="2">
        <f>K1367/J1367</f>
        <v/>
      </c>
      <c r="Q1367" s="2">
        <f>N1367*O1367*P1367</f>
        <v/>
      </c>
    </row>
    <row r="1368">
      <c r="A1368" t="inlineStr">
        <is>
          <t>2026-08-26</t>
        </is>
      </c>
      <c r="B1368" t="inlineStr">
        <is>
          <t>야간</t>
        </is>
      </c>
      <c r="C1368" t="inlineStr">
        <is>
          <t>P6</t>
        </is>
      </c>
      <c r="D1368" t="inlineStr">
        <is>
          <t>포장</t>
        </is>
      </c>
      <c r="E1368" t="inlineStr">
        <is>
          <t>PK-01</t>
        </is>
      </c>
      <c r="F1368" t="n">
        <v>480</v>
      </c>
      <c r="G1368" t="n">
        <v>50</v>
      </c>
      <c r="H1368" t="inlineStr">
        <is>
          <t>자재 대기</t>
        </is>
      </c>
      <c r="I1368" t="n">
        <v>4.8</v>
      </c>
      <c r="J1368" t="n">
        <v>4958</v>
      </c>
      <c r="K1368" t="n">
        <v>4941</v>
      </c>
      <c r="L1368" t="inlineStr">
        <is>
          <t>L-0821</t>
        </is>
      </c>
      <c r="M1368">
        <f>F1368-G1368</f>
        <v/>
      </c>
      <c r="N1368" s="2">
        <f>M1368/F1368</f>
        <v/>
      </c>
      <c r="O1368" s="2">
        <f>I1368*J1368/60/M1368</f>
        <v/>
      </c>
      <c r="P1368" s="2">
        <f>K1368/J1368</f>
        <v/>
      </c>
      <c r="Q1368" s="2">
        <f>N1368*O1368*P1368</f>
        <v/>
      </c>
    </row>
    <row r="1369">
      <c r="A1369" t="inlineStr">
        <is>
          <t>2026-08-26</t>
        </is>
      </c>
      <c r="B1369" t="inlineStr">
        <is>
          <t>야간</t>
        </is>
      </c>
      <c r="C1369" t="inlineStr">
        <is>
          <t>P6</t>
        </is>
      </c>
      <c r="D1369" t="inlineStr">
        <is>
          <t>포장</t>
        </is>
      </c>
      <c r="E1369" t="inlineStr">
        <is>
          <t>PK-02</t>
        </is>
      </c>
      <c r="F1369" t="n">
        <v>480</v>
      </c>
      <c r="G1369" t="n">
        <v>32</v>
      </c>
      <c r="H1369" t="inlineStr">
        <is>
          <t>라벨 교체</t>
        </is>
      </c>
      <c r="I1369" t="n">
        <v>4.8</v>
      </c>
      <c r="J1369" t="n">
        <v>5240</v>
      </c>
      <c r="K1369" t="n">
        <v>5225</v>
      </c>
      <c r="L1369" t="inlineStr">
        <is>
          <t>L-0821</t>
        </is>
      </c>
      <c r="M1369">
        <f>F1369-G1369</f>
        <v/>
      </c>
      <c r="N1369" s="2">
        <f>M1369/F1369</f>
        <v/>
      </c>
      <c r="O1369" s="2">
        <f>I1369*J1369/60/M1369</f>
        <v/>
      </c>
      <c r="P1369" s="2">
        <f>K1369/J1369</f>
        <v/>
      </c>
      <c r="Q1369" s="2">
        <f>N1369*O1369*P1369</f>
        <v/>
      </c>
    </row>
    <row r="1370">
      <c r="A1370" t="inlineStr">
        <is>
          <t>2026-08-27</t>
        </is>
      </c>
      <c r="B1370" t="inlineStr">
        <is>
          <t>주간</t>
        </is>
      </c>
      <c r="C1370" t="inlineStr">
        <is>
          <t>P1</t>
        </is>
      </c>
      <c r="D1370" t="inlineStr">
        <is>
          <t>원료혼합</t>
        </is>
      </c>
      <c r="E1370" t="inlineStr">
        <is>
          <t>MX-01</t>
        </is>
      </c>
      <c r="F1370" t="n">
        <v>480</v>
      </c>
      <c r="G1370" t="n">
        <v>35</v>
      </c>
      <c r="H1370" t="inlineStr">
        <is>
          <t>원료 대기</t>
        </is>
      </c>
      <c r="I1370" t="n">
        <v>5</v>
      </c>
      <c r="J1370" t="n">
        <v>4927</v>
      </c>
      <c r="K1370" t="n">
        <v>4906</v>
      </c>
      <c r="L1370" t="inlineStr">
        <is>
          <t>L-0821</t>
        </is>
      </c>
      <c r="M1370">
        <f>F1370-G1370</f>
        <v/>
      </c>
      <c r="N1370" s="2">
        <f>M1370/F1370</f>
        <v/>
      </c>
      <c r="O1370" s="2">
        <f>I1370*J1370/60/M1370</f>
        <v/>
      </c>
      <c r="P1370" s="2">
        <f>K1370/J1370</f>
        <v/>
      </c>
      <c r="Q1370" s="2">
        <f>N1370*O1370*P1370</f>
        <v/>
      </c>
    </row>
    <row r="1371">
      <c r="A1371" t="inlineStr">
        <is>
          <t>2026-08-27</t>
        </is>
      </c>
      <c r="B1371" t="inlineStr">
        <is>
          <t>주간</t>
        </is>
      </c>
      <c r="C1371" t="inlineStr">
        <is>
          <t>P1</t>
        </is>
      </c>
      <c r="D1371" t="inlineStr">
        <is>
          <t>원료혼합</t>
        </is>
      </c>
      <c r="E1371" t="inlineStr">
        <is>
          <t>MX-02</t>
        </is>
      </c>
      <c r="F1371" t="n">
        <v>480</v>
      </c>
      <c r="G1371" t="n">
        <v>18</v>
      </c>
      <c r="H1371" t="inlineStr">
        <is>
          <t>청소</t>
        </is>
      </c>
      <c r="I1371" t="n">
        <v>5</v>
      </c>
      <c r="J1371" t="n">
        <v>5216</v>
      </c>
      <c r="K1371" t="n">
        <v>5186</v>
      </c>
      <c r="L1371" t="inlineStr">
        <is>
          <t>L-0821</t>
        </is>
      </c>
      <c r="M1371">
        <f>F1371-G1371</f>
        <v/>
      </c>
      <c r="N1371" s="2">
        <f>M1371/F1371</f>
        <v/>
      </c>
      <c r="O1371" s="2">
        <f>I1371*J1371/60/M1371</f>
        <v/>
      </c>
      <c r="P1371" s="2">
        <f>K1371/J1371</f>
        <v/>
      </c>
      <c r="Q1371" s="2">
        <f>N1371*O1371*P1371</f>
        <v/>
      </c>
    </row>
    <row r="1372">
      <c r="A1372" t="inlineStr">
        <is>
          <t>2026-08-27</t>
        </is>
      </c>
      <c r="B1372" t="inlineStr">
        <is>
          <t>주간</t>
        </is>
      </c>
      <c r="C1372" t="inlineStr">
        <is>
          <t>P2</t>
        </is>
      </c>
      <c r="D1372" t="inlineStr">
        <is>
          <t>성형</t>
        </is>
      </c>
      <c r="E1372" t="inlineStr">
        <is>
          <t>PR-01</t>
        </is>
      </c>
      <c r="F1372" t="n">
        <v>480</v>
      </c>
      <c r="G1372" t="n">
        <v>15</v>
      </c>
      <c r="H1372" t="inlineStr">
        <is>
          <t>압력 이상</t>
        </is>
      </c>
      <c r="I1372" t="n">
        <v>6</v>
      </c>
      <c r="J1372" t="n">
        <v>4000</v>
      </c>
      <c r="K1372" t="n">
        <v>3932</v>
      </c>
      <c r="L1372" t="inlineStr">
        <is>
          <t>L-0821</t>
        </is>
      </c>
      <c r="M1372">
        <f>F1372-G1372</f>
        <v/>
      </c>
      <c r="N1372" s="2">
        <f>M1372/F1372</f>
        <v/>
      </c>
      <c r="O1372" s="2">
        <f>I1372*J1372/60/M1372</f>
        <v/>
      </c>
      <c r="P1372" s="2">
        <f>K1372/J1372</f>
        <v/>
      </c>
      <c r="Q1372" s="2">
        <f>N1372*O1372*P1372</f>
        <v/>
      </c>
    </row>
    <row r="1373">
      <c r="A1373" t="inlineStr">
        <is>
          <t>2026-08-27</t>
        </is>
      </c>
      <c r="B1373" t="inlineStr">
        <is>
          <t>주간</t>
        </is>
      </c>
      <c r="C1373" t="inlineStr">
        <is>
          <t>P2</t>
        </is>
      </c>
      <c r="D1373" t="inlineStr">
        <is>
          <t>성형</t>
        </is>
      </c>
      <c r="E1373" t="inlineStr">
        <is>
          <t>PR-02</t>
        </is>
      </c>
      <c r="F1373" t="n">
        <v>480</v>
      </c>
      <c r="G1373" t="n">
        <v>11</v>
      </c>
      <c r="H1373" t="inlineStr">
        <is>
          <t>금형 교체</t>
        </is>
      </c>
      <c r="I1373" t="n">
        <v>6</v>
      </c>
      <c r="J1373" t="n">
        <v>4267</v>
      </c>
      <c r="K1373" t="n">
        <v>4204</v>
      </c>
      <c r="L1373" t="inlineStr">
        <is>
          <t>L-0821</t>
        </is>
      </c>
      <c r="M1373">
        <f>F1373-G1373</f>
        <v/>
      </c>
      <c r="N1373" s="2">
        <f>M1373/F1373</f>
        <v/>
      </c>
      <c r="O1373" s="2">
        <f>I1373*J1373/60/M1373</f>
        <v/>
      </c>
      <c r="P1373" s="2">
        <f>K1373/J1373</f>
        <v/>
      </c>
      <c r="Q1373" s="2">
        <f>N1373*O1373*P1373</f>
        <v/>
      </c>
    </row>
    <row r="1374">
      <c r="A1374" t="inlineStr">
        <is>
          <t>2026-08-27</t>
        </is>
      </c>
      <c r="B1374" t="inlineStr">
        <is>
          <t>주간</t>
        </is>
      </c>
      <c r="C1374" t="inlineStr">
        <is>
          <t>P3</t>
        </is>
      </c>
      <c r="D1374" t="inlineStr">
        <is>
          <t>소결</t>
        </is>
      </c>
      <c r="E1374" t="inlineStr">
        <is>
          <t>SF-01</t>
        </is>
      </c>
      <c r="F1374" t="n">
        <v>480</v>
      </c>
      <c r="G1374" t="n">
        <v>88</v>
      </c>
      <c r="H1374" t="inlineStr">
        <is>
          <t>승온 대기</t>
        </is>
      </c>
      <c r="I1374" t="n">
        <v>6.5</v>
      </c>
      <c r="J1374" t="n">
        <v>3321</v>
      </c>
      <c r="K1374" t="n">
        <v>3253</v>
      </c>
      <c r="L1374" t="inlineStr">
        <is>
          <t>L-0821</t>
        </is>
      </c>
      <c r="M1374">
        <f>F1374-G1374</f>
        <v/>
      </c>
      <c r="N1374" s="2">
        <f>M1374/F1374</f>
        <v/>
      </c>
      <c r="O1374" s="2">
        <f>I1374*J1374/60/M1374</f>
        <v/>
      </c>
      <c r="P1374" s="2">
        <f>K1374/J1374</f>
        <v/>
      </c>
      <c r="Q1374" s="2">
        <f>N1374*O1374*P1374</f>
        <v/>
      </c>
    </row>
    <row r="1375">
      <c r="A1375" t="inlineStr">
        <is>
          <t>2026-08-27</t>
        </is>
      </c>
      <c r="B1375" t="inlineStr">
        <is>
          <t>주간</t>
        </is>
      </c>
      <c r="C1375" t="inlineStr">
        <is>
          <t>P3</t>
        </is>
      </c>
      <c r="D1375" t="inlineStr">
        <is>
          <t>소결</t>
        </is>
      </c>
      <c r="E1375" t="inlineStr">
        <is>
          <t>SF-02</t>
        </is>
      </c>
      <c r="F1375" t="n">
        <v>480</v>
      </c>
      <c r="G1375" t="n">
        <v>123</v>
      </c>
      <c r="H1375" t="inlineStr">
        <is>
          <t>재가열</t>
        </is>
      </c>
      <c r="I1375" t="n">
        <v>6.5</v>
      </c>
      <c r="J1375" t="n">
        <v>2785</v>
      </c>
      <c r="K1375" t="n">
        <v>2613</v>
      </c>
      <c r="L1375" t="inlineStr">
        <is>
          <t>L-0821</t>
        </is>
      </c>
      <c r="M1375">
        <f>F1375-G1375</f>
        <v/>
      </c>
      <c r="N1375" s="2">
        <f>M1375/F1375</f>
        <v/>
      </c>
      <c r="O1375" s="2">
        <f>I1375*J1375/60/M1375</f>
        <v/>
      </c>
      <c r="P1375" s="2">
        <f>K1375/J1375</f>
        <v/>
      </c>
      <c r="Q1375" s="2">
        <f>N1375*O1375*P1375</f>
        <v/>
      </c>
    </row>
    <row r="1376">
      <c r="A1376" t="inlineStr">
        <is>
          <t>2026-08-27</t>
        </is>
      </c>
      <c r="B1376" t="inlineStr">
        <is>
          <t>주간</t>
        </is>
      </c>
      <c r="C1376" t="inlineStr">
        <is>
          <t>P4</t>
        </is>
      </c>
      <c r="D1376" t="inlineStr">
        <is>
          <t>연삭</t>
        </is>
      </c>
      <c r="E1376" t="inlineStr">
        <is>
          <t>GR-01</t>
        </is>
      </c>
      <c r="F1376" t="n">
        <v>480</v>
      </c>
      <c r="G1376" t="n">
        <v>71</v>
      </c>
      <c r="H1376" t="inlineStr">
        <is>
          <t>드레싱</t>
        </is>
      </c>
      <c r="I1376" t="n">
        <v>6.2</v>
      </c>
      <c r="J1376" t="n">
        <v>3747</v>
      </c>
      <c r="K1376" t="n">
        <v>3701</v>
      </c>
      <c r="L1376" t="inlineStr">
        <is>
          <t>L-0821</t>
        </is>
      </c>
      <c r="M1376">
        <f>F1376-G1376</f>
        <v/>
      </c>
      <c r="N1376" s="2">
        <f>M1376/F1376</f>
        <v/>
      </c>
      <c r="O1376" s="2">
        <f>I1376*J1376/60/M1376</f>
        <v/>
      </c>
      <c r="P1376" s="2">
        <f>K1376/J1376</f>
        <v/>
      </c>
      <c r="Q1376" s="2">
        <f>N1376*O1376*P1376</f>
        <v/>
      </c>
    </row>
    <row r="1377">
      <c r="A1377" t="inlineStr">
        <is>
          <t>2026-08-27</t>
        </is>
      </c>
      <c r="B1377" t="inlineStr">
        <is>
          <t>주간</t>
        </is>
      </c>
      <c r="C1377" t="inlineStr">
        <is>
          <t>P4</t>
        </is>
      </c>
      <c r="D1377" t="inlineStr">
        <is>
          <t>연삭</t>
        </is>
      </c>
      <c r="E1377" t="inlineStr">
        <is>
          <t>GR-02</t>
        </is>
      </c>
      <c r="F1377" t="n">
        <v>480</v>
      </c>
      <c r="G1377" t="n">
        <v>93</v>
      </c>
      <c r="H1377" t="inlineStr">
        <is>
          <t>드레싱</t>
        </is>
      </c>
      <c r="I1377" t="n">
        <v>6.2</v>
      </c>
      <c r="J1377" t="n">
        <v>3462</v>
      </c>
      <c r="K1377" t="n">
        <v>3429</v>
      </c>
      <c r="L1377" t="inlineStr">
        <is>
          <t>L-0821</t>
        </is>
      </c>
      <c r="M1377">
        <f>F1377-G1377</f>
        <v/>
      </c>
      <c r="N1377" s="2">
        <f>M1377/F1377</f>
        <v/>
      </c>
      <c r="O1377" s="2">
        <f>I1377*J1377/60/M1377</f>
        <v/>
      </c>
      <c r="P1377" s="2">
        <f>K1377/J1377</f>
        <v/>
      </c>
      <c r="Q1377" s="2">
        <f>N1377*O1377*P1377</f>
        <v/>
      </c>
    </row>
    <row r="1378">
      <c r="A1378" t="inlineStr">
        <is>
          <t>2026-08-27</t>
        </is>
      </c>
      <c r="B1378" t="inlineStr">
        <is>
          <t>주간</t>
        </is>
      </c>
      <c r="C1378" t="inlineStr">
        <is>
          <t>P5</t>
        </is>
      </c>
      <c r="D1378" t="inlineStr">
        <is>
          <t>검사</t>
        </is>
      </c>
      <c r="E1378" t="inlineStr">
        <is>
          <t>IN-01</t>
        </is>
      </c>
      <c r="F1378" t="n">
        <v>480</v>
      </c>
      <c r="G1378" t="n">
        <v>12</v>
      </c>
      <c r="H1378" t="inlineStr">
        <is>
          <t>측정기 교정</t>
        </is>
      </c>
      <c r="I1378" t="n">
        <v>5.5</v>
      </c>
      <c r="J1378" t="n">
        <v>4644</v>
      </c>
      <c r="K1378" t="n">
        <v>4630</v>
      </c>
      <c r="L1378" t="inlineStr">
        <is>
          <t>L-0821</t>
        </is>
      </c>
      <c r="M1378">
        <f>F1378-G1378</f>
        <v/>
      </c>
      <c r="N1378" s="2">
        <f>M1378/F1378</f>
        <v/>
      </c>
      <c r="O1378" s="2">
        <f>I1378*J1378/60/M1378</f>
        <v/>
      </c>
      <c r="P1378" s="2">
        <f>K1378/J1378</f>
        <v/>
      </c>
      <c r="Q1378" s="2">
        <f>N1378*O1378*P1378</f>
        <v/>
      </c>
    </row>
    <row r="1379">
      <c r="A1379" t="inlineStr">
        <is>
          <t>2026-08-27</t>
        </is>
      </c>
      <c r="B1379" t="inlineStr">
        <is>
          <t>주간</t>
        </is>
      </c>
      <c r="C1379" t="inlineStr">
        <is>
          <t>P5</t>
        </is>
      </c>
      <c r="D1379" t="inlineStr">
        <is>
          <t>검사</t>
        </is>
      </c>
      <c r="E1379" t="inlineStr">
        <is>
          <t>IN-02</t>
        </is>
      </c>
      <c r="F1379" t="n">
        <v>480</v>
      </c>
      <c r="G1379" t="n">
        <v>20</v>
      </c>
      <c r="H1379" t="inlineStr">
        <is>
          <t>측정기 교정</t>
        </is>
      </c>
      <c r="I1379" t="n">
        <v>5.5</v>
      </c>
      <c r="J1379" t="n">
        <v>4636</v>
      </c>
      <c r="K1379" t="n">
        <v>4623</v>
      </c>
      <c r="L1379" t="inlineStr">
        <is>
          <t>L-0821</t>
        </is>
      </c>
      <c r="M1379">
        <f>F1379-G1379</f>
        <v/>
      </c>
      <c r="N1379" s="2">
        <f>M1379/F1379</f>
        <v/>
      </c>
      <c r="O1379" s="2">
        <f>I1379*J1379/60/M1379</f>
        <v/>
      </c>
      <c r="P1379" s="2">
        <f>K1379/J1379</f>
        <v/>
      </c>
      <c r="Q1379" s="2">
        <f>N1379*O1379*P1379</f>
        <v/>
      </c>
    </row>
    <row r="1380">
      <c r="A1380" t="inlineStr">
        <is>
          <t>2026-08-27</t>
        </is>
      </c>
      <c r="B1380" t="inlineStr">
        <is>
          <t>주간</t>
        </is>
      </c>
      <c r="C1380" t="inlineStr">
        <is>
          <t>P6</t>
        </is>
      </c>
      <c r="D1380" t="inlineStr">
        <is>
          <t>포장</t>
        </is>
      </c>
      <c r="E1380" t="inlineStr">
        <is>
          <t>PK-01</t>
        </is>
      </c>
      <c r="F1380" t="n">
        <v>480</v>
      </c>
      <c r="G1380" t="n">
        <v>19</v>
      </c>
      <c r="H1380" t="inlineStr">
        <is>
          <t>라벨 교체</t>
        </is>
      </c>
      <c r="I1380" t="n">
        <v>4.8</v>
      </c>
      <c r="J1380" t="n">
        <v>5535</v>
      </c>
      <c r="K1380" t="n">
        <v>5521</v>
      </c>
      <c r="L1380" t="inlineStr">
        <is>
          <t>L-0821</t>
        </is>
      </c>
      <c r="M1380">
        <f>F1380-G1380</f>
        <v/>
      </c>
      <c r="N1380" s="2">
        <f>M1380/F1380</f>
        <v/>
      </c>
      <c r="O1380" s="2">
        <f>I1380*J1380/60/M1380</f>
        <v/>
      </c>
      <c r="P1380" s="2">
        <f>K1380/J1380</f>
        <v/>
      </c>
      <c r="Q1380" s="2">
        <f>N1380*O1380*P1380</f>
        <v/>
      </c>
    </row>
    <row r="1381">
      <c r="A1381" t="inlineStr">
        <is>
          <t>2026-08-27</t>
        </is>
      </c>
      <c r="B1381" t="inlineStr">
        <is>
          <t>주간</t>
        </is>
      </c>
      <c r="C1381" t="inlineStr">
        <is>
          <t>P6</t>
        </is>
      </c>
      <c r="D1381" t="inlineStr">
        <is>
          <t>포장</t>
        </is>
      </c>
      <c r="E1381" t="inlineStr">
        <is>
          <t>PK-02</t>
        </is>
      </c>
      <c r="F1381" t="n">
        <v>480</v>
      </c>
      <c r="G1381" t="n">
        <v>20</v>
      </c>
      <c r="H1381" t="inlineStr">
        <is>
          <t>라벨 교체</t>
        </is>
      </c>
      <c r="I1381" t="n">
        <v>4.8</v>
      </c>
      <c r="J1381" t="n">
        <v>5271</v>
      </c>
      <c r="K1381" t="n">
        <v>5259</v>
      </c>
      <c r="L1381" t="inlineStr">
        <is>
          <t>L-0821</t>
        </is>
      </c>
      <c r="M1381">
        <f>F1381-G1381</f>
        <v/>
      </c>
      <c r="N1381" s="2">
        <f>M1381/F1381</f>
        <v/>
      </c>
      <c r="O1381" s="2">
        <f>I1381*J1381/60/M1381</f>
        <v/>
      </c>
      <c r="P1381" s="2">
        <f>K1381/J1381</f>
        <v/>
      </c>
      <c r="Q1381" s="2">
        <f>N1381*O1381*P1381</f>
        <v/>
      </c>
    </row>
    <row r="1382">
      <c r="A1382" t="inlineStr">
        <is>
          <t>2026-08-27</t>
        </is>
      </c>
      <c r="B1382" t="inlineStr">
        <is>
          <t>야간</t>
        </is>
      </c>
      <c r="C1382" t="inlineStr">
        <is>
          <t>P1</t>
        </is>
      </c>
      <c r="D1382" t="inlineStr">
        <is>
          <t>원료혼합</t>
        </is>
      </c>
      <c r="E1382" t="inlineStr">
        <is>
          <t>MX-01</t>
        </is>
      </c>
      <c r="F1382" t="n">
        <v>480</v>
      </c>
      <c r="G1382" t="n">
        <v>44</v>
      </c>
      <c r="H1382" t="inlineStr">
        <is>
          <t>원료 대기</t>
        </is>
      </c>
      <c r="I1382" t="n">
        <v>5</v>
      </c>
      <c r="J1382" t="n">
        <v>4999</v>
      </c>
      <c r="K1382" t="n">
        <v>4958</v>
      </c>
      <c r="L1382" t="inlineStr">
        <is>
          <t>L-0821</t>
        </is>
      </c>
      <c r="M1382">
        <f>F1382-G1382</f>
        <v/>
      </c>
      <c r="N1382" s="2">
        <f>M1382/F1382</f>
        <v/>
      </c>
      <c r="O1382" s="2">
        <f>I1382*J1382/60/M1382</f>
        <v/>
      </c>
      <c r="P1382" s="2">
        <f>K1382/J1382</f>
        <v/>
      </c>
      <c r="Q1382" s="2">
        <f>N1382*O1382*P1382</f>
        <v/>
      </c>
    </row>
    <row r="1383">
      <c r="A1383" t="inlineStr">
        <is>
          <t>2026-08-27</t>
        </is>
      </c>
      <c r="B1383" t="inlineStr">
        <is>
          <t>야간</t>
        </is>
      </c>
      <c r="C1383" t="inlineStr">
        <is>
          <t>P1</t>
        </is>
      </c>
      <c r="D1383" t="inlineStr">
        <is>
          <t>원료혼합</t>
        </is>
      </c>
      <c r="E1383" t="inlineStr">
        <is>
          <t>MX-02</t>
        </is>
      </c>
      <c r="F1383" t="n">
        <v>480</v>
      </c>
      <c r="G1383" t="n">
        <v>8</v>
      </c>
      <c r="H1383" t="inlineStr">
        <is>
          <t>청소</t>
        </is>
      </c>
      <c r="I1383" t="n">
        <v>5</v>
      </c>
      <c r="J1383" t="n">
        <v>5218</v>
      </c>
      <c r="K1383" t="n">
        <v>5180</v>
      </c>
      <c r="L1383" t="inlineStr">
        <is>
          <t>L-0821</t>
        </is>
      </c>
      <c r="M1383">
        <f>F1383-G1383</f>
        <v/>
      </c>
      <c r="N1383" s="2">
        <f>M1383/F1383</f>
        <v/>
      </c>
      <c r="O1383" s="2">
        <f>I1383*J1383/60/M1383</f>
        <v/>
      </c>
      <c r="P1383" s="2">
        <f>K1383/J1383</f>
        <v/>
      </c>
      <c r="Q1383" s="2">
        <f>N1383*O1383*P1383</f>
        <v/>
      </c>
    </row>
    <row r="1384">
      <c r="A1384" t="inlineStr">
        <is>
          <t>2026-08-27</t>
        </is>
      </c>
      <c r="B1384" t="inlineStr">
        <is>
          <t>야간</t>
        </is>
      </c>
      <c r="C1384" t="inlineStr">
        <is>
          <t>P2</t>
        </is>
      </c>
      <c r="D1384" t="inlineStr">
        <is>
          <t>성형</t>
        </is>
      </c>
      <c r="E1384" t="inlineStr">
        <is>
          <t>PR-01</t>
        </is>
      </c>
      <c r="F1384" t="n">
        <v>480</v>
      </c>
      <c r="G1384" t="n">
        <v>27</v>
      </c>
      <c r="H1384" t="inlineStr">
        <is>
          <t>압력 이상</t>
        </is>
      </c>
      <c r="I1384" t="n">
        <v>6</v>
      </c>
      <c r="J1384" t="n">
        <v>4040</v>
      </c>
      <c r="K1384" t="n">
        <v>3972</v>
      </c>
      <c r="L1384" t="inlineStr">
        <is>
          <t>L-0821</t>
        </is>
      </c>
      <c r="M1384">
        <f>F1384-G1384</f>
        <v/>
      </c>
      <c r="N1384" s="2">
        <f>M1384/F1384</f>
        <v/>
      </c>
      <c r="O1384" s="2">
        <f>I1384*J1384/60/M1384</f>
        <v/>
      </c>
      <c r="P1384" s="2">
        <f>K1384/J1384</f>
        <v/>
      </c>
      <c r="Q1384" s="2">
        <f>N1384*O1384*P1384</f>
        <v/>
      </c>
    </row>
    <row r="1385">
      <c r="A1385" t="inlineStr">
        <is>
          <t>2026-08-27</t>
        </is>
      </c>
      <c r="B1385" t="inlineStr">
        <is>
          <t>야간</t>
        </is>
      </c>
      <c r="C1385" t="inlineStr">
        <is>
          <t>P2</t>
        </is>
      </c>
      <c r="D1385" t="inlineStr">
        <is>
          <t>성형</t>
        </is>
      </c>
      <c r="E1385" t="inlineStr">
        <is>
          <t>PR-02</t>
        </is>
      </c>
      <c r="F1385" t="n">
        <v>480</v>
      </c>
      <c r="G1385" t="n">
        <v>16</v>
      </c>
      <c r="H1385" t="inlineStr">
        <is>
          <t>분말 공급 지연</t>
        </is>
      </c>
      <c r="I1385" t="n">
        <v>6</v>
      </c>
      <c r="J1385" t="n">
        <v>4410</v>
      </c>
      <c r="K1385" t="n">
        <v>4323</v>
      </c>
      <c r="L1385" t="inlineStr">
        <is>
          <t>L-0821</t>
        </is>
      </c>
      <c r="M1385">
        <f>F1385-G1385</f>
        <v/>
      </c>
      <c r="N1385" s="2">
        <f>M1385/F1385</f>
        <v/>
      </c>
      <c r="O1385" s="2">
        <f>I1385*J1385/60/M1385</f>
        <v/>
      </c>
      <c r="P1385" s="2">
        <f>K1385/J1385</f>
        <v/>
      </c>
      <c r="Q1385" s="2">
        <f>N1385*O1385*P1385</f>
        <v/>
      </c>
    </row>
    <row r="1386">
      <c r="A1386" t="inlineStr">
        <is>
          <t>2026-08-27</t>
        </is>
      </c>
      <c r="B1386" t="inlineStr">
        <is>
          <t>야간</t>
        </is>
      </c>
      <c r="C1386" t="inlineStr">
        <is>
          <t>P3</t>
        </is>
      </c>
      <c r="D1386" t="inlineStr">
        <is>
          <t>소결</t>
        </is>
      </c>
      <c r="E1386" t="inlineStr">
        <is>
          <t>SF-01</t>
        </is>
      </c>
      <c r="F1386" t="n">
        <v>480</v>
      </c>
      <c r="G1386" t="n">
        <v>29</v>
      </c>
      <c r="H1386" t="inlineStr">
        <is>
          <t>장입 대기</t>
        </is>
      </c>
      <c r="I1386" t="n">
        <v>6.5</v>
      </c>
      <c r="J1386" t="n">
        <v>3661</v>
      </c>
      <c r="K1386" t="n">
        <v>3591</v>
      </c>
      <c r="L1386" t="inlineStr">
        <is>
          <t>L-0821</t>
        </is>
      </c>
      <c r="M1386">
        <f>F1386-G1386</f>
        <v/>
      </c>
      <c r="N1386" s="2">
        <f>M1386/F1386</f>
        <v/>
      </c>
      <c r="O1386" s="2">
        <f>I1386*J1386/60/M1386</f>
        <v/>
      </c>
      <c r="P1386" s="2">
        <f>K1386/J1386</f>
        <v/>
      </c>
      <c r="Q1386" s="2">
        <f>N1386*O1386*P1386</f>
        <v/>
      </c>
    </row>
    <row r="1387">
      <c r="A1387" t="inlineStr">
        <is>
          <t>2026-08-27</t>
        </is>
      </c>
      <c r="B1387" t="inlineStr">
        <is>
          <t>야간</t>
        </is>
      </c>
      <c r="C1387" t="inlineStr">
        <is>
          <t>P3</t>
        </is>
      </c>
      <c r="D1387" t="inlineStr">
        <is>
          <t>소결</t>
        </is>
      </c>
      <c r="E1387" t="inlineStr">
        <is>
          <t>SF-02</t>
        </is>
      </c>
      <c r="F1387" t="n">
        <v>480</v>
      </c>
      <c r="G1387" t="n">
        <v>98</v>
      </c>
      <c r="H1387" t="inlineStr">
        <is>
          <t>온도 이상 정지</t>
        </is>
      </c>
      <c r="I1387" t="n">
        <v>6.5</v>
      </c>
      <c r="J1387" t="n">
        <v>2970</v>
      </c>
      <c r="K1387" t="n">
        <v>2758</v>
      </c>
      <c r="L1387" t="inlineStr">
        <is>
          <t>L-0821</t>
        </is>
      </c>
      <c r="M1387">
        <f>F1387-G1387</f>
        <v/>
      </c>
      <c r="N1387" s="2">
        <f>M1387/F1387</f>
        <v/>
      </c>
      <c r="O1387" s="2">
        <f>I1387*J1387/60/M1387</f>
        <v/>
      </c>
      <c r="P1387" s="2">
        <f>K1387/J1387</f>
        <v/>
      </c>
      <c r="Q1387" s="2">
        <f>N1387*O1387*P1387</f>
        <v/>
      </c>
    </row>
    <row r="1388">
      <c r="A1388" t="inlineStr">
        <is>
          <t>2026-08-27</t>
        </is>
      </c>
      <c r="B1388" t="inlineStr">
        <is>
          <t>야간</t>
        </is>
      </c>
      <c r="C1388" t="inlineStr">
        <is>
          <t>P4</t>
        </is>
      </c>
      <c r="D1388" t="inlineStr">
        <is>
          <t>연삭</t>
        </is>
      </c>
      <c r="E1388" t="inlineStr">
        <is>
          <t>GR-01</t>
        </is>
      </c>
      <c r="F1388" t="n">
        <v>480</v>
      </c>
      <c r="G1388" t="n">
        <v>102</v>
      </c>
      <c r="H1388" t="inlineStr">
        <is>
          <t>공구 교체</t>
        </is>
      </c>
      <c r="I1388" t="n">
        <v>6.2</v>
      </c>
      <c r="J1388" t="n">
        <v>3213</v>
      </c>
      <c r="K1388" t="n">
        <v>3177</v>
      </c>
      <c r="L1388" t="inlineStr">
        <is>
          <t>L-0821</t>
        </is>
      </c>
      <c r="M1388">
        <f>F1388-G1388</f>
        <v/>
      </c>
      <c r="N1388" s="2">
        <f>M1388/F1388</f>
        <v/>
      </c>
      <c r="O1388" s="2">
        <f>I1388*J1388/60/M1388</f>
        <v/>
      </c>
      <c r="P1388" s="2">
        <f>K1388/J1388</f>
        <v/>
      </c>
      <c r="Q1388" s="2">
        <f>N1388*O1388*P1388</f>
        <v/>
      </c>
    </row>
    <row r="1389">
      <c r="A1389" t="inlineStr">
        <is>
          <t>2026-08-27</t>
        </is>
      </c>
      <c r="B1389" t="inlineStr">
        <is>
          <t>야간</t>
        </is>
      </c>
      <c r="C1389" t="inlineStr">
        <is>
          <t>P4</t>
        </is>
      </c>
      <c r="D1389" t="inlineStr">
        <is>
          <t>연삭</t>
        </is>
      </c>
      <c r="E1389" t="inlineStr">
        <is>
          <t>GR-02</t>
        </is>
      </c>
      <c r="F1389" t="n">
        <v>480</v>
      </c>
      <c r="G1389" t="n">
        <v>77</v>
      </c>
      <c r="H1389" t="inlineStr">
        <is>
          <t>공구 교체</t>
        </is>
      </c>
      <c r="I1389" t="n">
        <v>6.2</v>
      </c>
      <c r="J1389" t="n">
        <v>3562</v>
      </c>
      <c r="K1389" t="n">
        <v>3520</v>
      </c>
      <c r="L1389" t="inlineStr">
        <is>
          <t>L-0821</t>
        </is>
      </c>
      <c r="M1389">
        <f>F1389-G1389</f>
        <v/>
      </c>
      <c r="N1389" s="2">
        <f>M1389/F1389</f>
        <v/>
      </c>
      <c r="O1389" s="2">
        <f>I1389*J1389/60/M1389</f>
        <v/>
      </c>
      <c r="P1389" s="2">
        <f>K1389/J1389</f>
        <v/>
      </c>
      <c r="Q1389" s="2">
        <f>N1389*O1389*P1389</f>
        <v/>
      </c>
    </row>
    <row r="1390">
      <c r="A1390" t="inlineStr">
        <is>
          <t>2026-08-27</t>
        </is>
      </c>
      <c r="B1390" t="inlineStr">
        <is>
          <t>야간</t>
        </is>
      </c>
      <c r="C1390" t="inlineStr">
        <is>
          <t>P5</t>
        </is>
      </c>
      <c r="D1390" t="inlineStr">
        <is>
          <t>검사</t>
        </is>
      </c>
      <c r="E1390" t="inlineStr">
        <is>
          <t>IN-01</t>
        </is>
      </c>
      <c r="F1390" t="n">
        <v>480</v>
      </c>
      <c r="G1390" t="n">
        <v>5</v>
      </c>
      <c r="H1390" t="inlineStr">
        <is>
          <t>샘플 재검</t>
        </is>
      </c>
      <c r="I1390" t="n">
        <v>5.5</v>
      </c>
      <c r="J1390" t="n">
        <v>4865</v>
      </c>
      <c r="K1390" t="n">
        <v>4845</v>
      </c>
      <c r="L1390" t="inlineStr">
        <is>
          <t>L-0821</t>
        </is>
      </c>
      <c r="M1390">
        <f>F1390-G1390</f>
        <v/>
      </c>
      <c r="N1390" s="2">
        <f>M1390/F1390</f>
        <v/>
      </c>
      <c r="O1390" s="2">
        <f>I1390*J1390/60/M1390</f>
        <v/>
      </c>
      <c r="P1390" s="2">
        <f>K1390/J1390</f>
        <v/>
      </c>
      <c r="Q1390" s="2">
        <f>N1390*O1390*P1390</f>
        <v/>
      </c>
    </row>
    <row r="1391">
      <c r="A1391" t="inlineStr">
        <is>
          <t>2026-08-27</t>
        </is>
      </c>
      <c r="B1391" t="inlineStr">
        <is>
          <t>야간</t>
        </is>
      </c>
      <c r="C1391" t="inlineStr">
        <is>
          <t>P5</t>
        </is>
      </c>
      <c r="D1391" t="inlineStr">
        <is>
          <t>검사</t>
        </is>
      </c>
      <c r="E1391" t="inlineStr">
        <is>
          <t>IN-02</t>
        </is>
      </c>
      <c r="F1391" t="n">
        <v>480</v>
      </c>
      <c r="G1391" t="n">
        <v>49</v>
      </c>
      <c r="H1391" t="inlineStr">
        <is>
          <t>측정기 교정</t>
        </is>
      </c>
      <c r="I1391" t="n">
        <v>5.5</v>
      </c>
      <c r="J1391" t="n">
        <v>4348</v>
      </c>
      <c r="K1391" t="n">
        <v>4328</v>
      </c>
      <c r="L1391" t="inlineStr">
        <is>
          <t>L-0821</t>
        </is>
      </c>
      <c r="M1391">
        <f>F1391-G1391</f>
        <v/>
      </c>
      <c r="N1391" s="2">
        <f>M1391/F1391</f>
        <v/>
      </c>
      <c r="O1391" s="2">
        <f>I1391*J1391/60/M1391</f>
        <v/>
      </c>
      <c r="P1391" s="2">
        <f>K1391/J1391</f>
        <v/>
      </c>
      <c r="Q1391" s="2">
        <f>N1391*O1391*P1391</f>
        <v/>
      </c>
    </row>
    <row r="1392">
      <c r="A1392" t="inlineStr">
        <is>
          <t>2026-08-27</t>
        </is>
      </c>
      <c r="B1392" t="inlineStr">
        <is>
          <t>야간</t>
        </is>
      </c>
      <c r="C1392" t="inlineStr">
        <is>
          <t>P6</t>
        </is>
      </c>
      <c r="D1392" t="inlineStr">
        <is>
          <t>포장</t>
        </is>
      </c>
      <c r="E1392" t="inlineStr">
        <is>
          <t>PK-01</t>
        </is>
      </c>
      <c r="F1392" t="n">
        <v>480</v>
      </c>
      <c r="G1392" t="n">
        <v>50</v>
      </c>
      <c r="H1392" t="inlineStr">
        <is>
          <t>자재 대기</t>
        </is>
      </c>
      <c r="I1392" t="n">
        <v>4.8</v>
      </c>
      <c r="J1392" t="n">
        <v>4741</v>
      </c>
      <c r="K1392" t="n">
        <v>4725</v>
      </c>
      <c r="L1392" t="inlineStr">
        <is>
          <t>L-0821</t>
        </is>
      </c>
      <c r="M1392">
        <f>F1392-G1392</f>
        <v/>
      </c>
      <c r="N1392" s="2">
        <f>M1392/F1392</f>
        <v/>
      </c>
      <c r="O1392" s="2">
        <f>I1392*J1392/60/M1392</f>
        <v/>
      </c>
      <c r="P1392" s="2">
        <f>K1392/J1392</f>
        <v/>
      </c>
      <c r="Q1392" s="2">
        <f>N1392*O1392*P1392</f>
        <v/>
      </c>
    </row>
    <row r="1393">
      <c r="A1393" t="inlineStr">
        <is>
          <t>2026-08-27</t>
        </is>
      </c>
      <c r="B1393" t="inlineStr">
        <is>
          <t>야간</t>
        </is>
      </c>
      <c r="C1393" t="inlineStr">
        <is>
          <t>P6</t>
        </is>
      </c>
      <c r="D1393" t="inlineStr">
        <is>
          <t>포장</t>
        </is>
      </c>
      <c r="E1393" t="inlineStr">
        <is>
          <t>PK-02</t>
        </is>
      </c>
      <c r="F1393" t="n">
        <v>480</v>
      </c>
      <c r="G1393" t="n">
        <v>16</v>
      </c>
      <c r="H1393" t="inlineStr">
        <is>
          <t>자재 대기</t>
        </is>
      </c>
      <c r="I1393" t="n">
        <v>4.8</v>
      </c>
      <c r="J1393" t="n">
        <v>5180</v>
      </c>
      <c r="K1393" t="n">
        <v>5163</v>
      </c>
      <c r="L1393" t="inlineStr">
        <is>
          <t>L-0821</t>
        </is>
      </c>
      <c r="M1393">
        <f>F1393-G1393</f>
        <v/>
      </c>
      <c r="N1393" s="2">
        <f>M1393/F1393</f>
        <v/>
      </c>
      <c r="O1393" s="2">
        <f>I1393*J1393/60/M1393</f>
        <v/>
      </c>
      <c r="P1393" s="2">
        <f>K1393/J1393</f>
        <v/>
      </c>
      <c r="Q1393" s="2">
        <f>N1393*O1393*P1393</f>
        <v/>
      </c>
    </row>
    <row r="1394">
      <c r="A1394" t="inlineStr">
        <is>
          <t>2026-08-28</t>
        </is>
      </c>
      <c r="B1394" t="inlineStr">
        <is>
          <t>주간</t>
        </is>
      </c>
      <c r="C1394" t="inlineStr">
        <is>
          <t>P1</t>
        </is>
      </c>
      <c r="D1394" t="inlineStr">
        <is>
          <t>원료혼합</t>
        </is>
      </c>
      <c r="E1394" t="inlineStr">
        <is>
          <t>MX-01</t>
        </is>
      </c>
      <c r="F1394" t="n">
        <v>480</v>
      </c>
      <c r="G1394" t="n">
        <v>7</v>
      </c>
      <c r="H1394" t="inlineStr">
        <is>
          <t>배합 확인</t>
        </is>
      </c>
      <c r="I1394" t="n">
        <v>5</v>
      </c>
      <c r="J1394" t="n">
        <v>5480</v>
      </c>
      <c r="K1394" t="n">
        <v>5450</v>
      </c>
      <c r="L1394" t="inlineStr">
        <is>
          <t>L-0821</t>
        </is>
      </c>
      <c r="M1394">
        <f>F1394-G1394</f>
        <v/>
      </c>
      <c r="N1394" s="2">
        <f>M1394/F1394</f>
        <v/>
      </c>
      <c r="O1394" s="2">
        <f>I1394*J1394/60/M1394</f>
        <v/>
      </c>
      <c r="P1394" s="2">
        <f>K1394/J1394</f>
        <v/>
      </c>
      <c r="Q1394" s="2">
        <f>N1394*O1394*P1394</f>
        <v/>
      </c>
    </row>
    <row r="1395">
      <c r="A1395" t="inlineStr">
        <is>
          <t>2026-08-28</t>
        </is>
      </c>
      <c r="B1395" t="inlineStr">
        <is>
          <t>주간</t>
        </is>
      </c>
      <c r="C1395" t="inlineStr">
        <is>
          <t>P1</t>
        </is>
      </c>
      <c r="D1395" t="inlineStr">
        <is>
          <t>원료혼합</t>
        </is>
      </c>
      <c r="E1395" t="inlineStr">
        <is>
          <t>MX-02</t>
        </is>
      </c>
      <c r="F1395" t="n">
        <v>480</v>
      </c>
      <c r="G1395" t="n">
        <v>30</v>
      </c>
      <c r="H1395" t="inlineStr">
        <is>
          <t>청소</t>
        </is>
      </c>
      <c r="I1395" t="n">
        <v>5</v>
      </c>
      <c r="J1395" t="n">
        <v>5020</v>
      </c>
      <c r="K1395" t="n">
        <v>4986</v>
      </c>
      <c r="L1395" t="inlineStr">
        <is>
          <t>L-0821</t>
        </is>
      </c>
      <c r="M1395">
        <f>F1395-G1395</f>
        <v/>
      </c>
      <c r="N1395" s="2">
        <f>M1395/F1395</f>
        <v/>
      </c>
      <c r="O1395" s="2">
        <f>I1395*J1395/60/M1395</f>
        <v/>
      </c>
      <c r="P1395" s="2">
        <f>K1395/J1395</f>
        <v/>
      </c>
      <c r="Q1395" s="2">
        <f>N1395*O1395*P1395</f>
        <v/>
      </c>
    </row>
    <row r="1396">
      <c r="A1396" t="inlineStr">
        <is>
          <t>2026-08-28</t>
        </is>
      </c>
      <c r="B1396" t="inlineStr">
        <is>
          <t>주간</t>
        </is>
      </c>
      <c r="C1396" t="inlineStr">
        <is>
          <t>P2</t>
        </is>
      </c>
      <c r="D1396" t="inlineStr">
        <is>
          <t>성형</t>
        </is>
      </c>
      <c r="E1396" t="inlineStr">
        <is>
          <t>PR-01</t>
        </is>
      </c>
      <c r="F1396" t="n">
        <v>480</v>
      </c>
      <c r="G1396" t="n">
        <v>13</v>
      </c>
      <c r="H1396" t="inlineStr">
        <is>
          <t>분말 공급 지연</t>
        </is>
      </c>
      <c r="I1396" t="n">
        <v>6</v>
      </c>
      <c r="J1396" t="n">
        <v>4507</v>
      </c>
      <c r="K1396" t="n">
        <v>4458</v>
      </c>
      <c r="L1396" t="inlineStr">
        <is>
          <t>L-0821</t>
        </is>
      </c>
      <c r="M1396">
        <f>F1396-G1396</f>
        <v/>
      </c>
      <c r="N1396" s="2">
        <f>M1396/F1396</f>
        <v/>
      </c>
      <c r="O1396" s="2">
        <f>I1396*J1396/60/M1396</f>
        <v/>
      </c>
      <c r="P1396" s="2">
        <f>K1396/J1396</f>
        <v/>
      </c>
      <c r="Q1396" s="2">
        <f>N1396*O1396*P1396</f>
        <v/>
      </c>
    </row>
    <row r="1397">
      <c r="A1397" t="inlineStr">
        <is>
          <t>2026-08-28</t>
        </is>
      </c>
      <c r="B1397" t="inlineStr">
        <is>
          <t>주간</t>
        </is>
      </c>
      <c r="C1397" t="inlineStr">
        <is>
          <t>P2</t>
        </is>
      </c>
      <c r="D1397" t="inlineStr">
        <is>
          <t>성형</t>
        </is>
      </c>
      <c r="E1397" t="inlineStr">
        <is>
          <t>PR-02</t>
        </is>
      </c>
      <c r="F1397" t="n">
        <v>480</v>
      </c>
      <c r="G1397" t="n">
        <v>51</v>
      </c>
      <c r="H1397" t="inlineStr">
        <is>
          <t>압력 이상</t>
        </is>
      </c>
      <c r="I1397" t="n">
        <v>6</v>
      </c>
      <c r="J1397" t="n">
        <v>4220</v>
      </c>
      <c r="K1397" t="n">
        <v>4176</v>
      </c>
      <c r="L1397" t="inlineStr">
        <is>
          <t>L-0821</t>
        </is>
      </c>
      <c r="M1397">
        <f>F1397-G1397</f>
        <v/>
      </c>
      <c r="N1397" s="2">
        <f>M1397/F1397</f>
        <v/>
      </c>
      <c r="O1397" s="2">
        <f>I1397*J1397/60/M1397</f>
        <v/>
      </c>
      <c r="P1397" s="2">
        <f>K1397/J1397</f>
        <v/>
      </c>
      <c r="Q1397" s="2">
        <f>N1397*O1397*P1397</f>
        <v/>
      </c>
    </row>
    <row r="1398">
      <c r="A1398" t="inlineStr">
        <is>
          <t>2026-08-28</t>
        </is>
      </c>
      <c r="B1398" t="inlineStr">
        <is>
          <t>주간</t>
        </is>
      </c>
      <c r="C1398" t="inlineStr">
        <is>
          <t>P3</t>
        </is>
      </c>
      <c r="D1398" t="inlineStr">
        <is>
          <t>소결</t>
        </is>
      </c>
      <c r="E1398" t="inlineStr">
        <is>
          <t>SF-01</t>
        </is>
      </c>
      <c r="F1398" t="n">
        <v>480</v>
      </c>
      <c r="G1398" t="n">
        <v>40</v>
      </c>
      <c r="H1398" t="inlineStr">
        <is>
          <t>온도 이상 정지</t>
        </is>
      </c>
      <c r="I1398" t="n">
        <v>6.5</v>
      </c>
      <c r="J1398" t="n">
        <v>3841</v>
      </c>
      <c r="K1398" t="n">
        <v>3763</v>
      </c>
      <c r="L1398" t="inlineStr">
        <is>
          <t>L-0821</t>
        </is>
      </c>
      <c r="M1398">
        <f>F1398-G1398</f>
        <v/>
      </c>
      <c r="N1398" s="2">
        <f>M1398/F1398</f>
        <v/>
      </c>
      <c r="O1398" s="2">
        <f>I1398*J1398/60/M1398</f>
        <v/>
      </c>
      <c r="P1398" s="2">
        <f>K1398/J1398</f>
        <v/>
      </c>
      <c r="Q1398" s="2">
        <f>N1398*O1398*P1398</f>
        <v/>
      </c>
    </row>
    <row r="1399">
      <c r="A1399" t="inlineStr">
        <is>
          <t>2026-08-28</t>
        </is>
      </c>
      <c r="B1399" t="inlineStr">
        <is>
          <t>주간</t>
        </is>
      </c>
      <c r="C1399" t="inlineStr">
        <is>
          <t>P3</t>
        </is>
      </c>
      <c r="D1399" t="inlineStr">
        <is>
          <t>소결</t>
        </is>
      </c>
      <c r="E1399" t="inlineStr">
        <is>
          <t>SF-02</t>
        </is>
      </c>
      <c r="F1399" t="n">
        <v>480</v>
      </c>
      <c r="G1399" t="n">
        <v>133</v>
      </c>
      <c r="H1399" t="inlineStr">
        <is>
          <t>재가열</t>
        </is>
      </c>
      <c r="I1399" t="n">
        <v>6.5</v>
      </c>
      <c r="J1399" t="n">
        <v>2924</v>
      </c>
      <c r="K1399" t="n">
        <v>2697</v>
      </c>
      <c r="L1399" t="inlineStr">
        <is>
          <t>L-0821</t>
        </is>
      </c>
      <c r="M1399">
        <f>F1399-G1399</f>
        <v/>
      </c>
      <c r="N1399" s="2">
        <f>M1399/F1399</f>
        <v/>
      </c>
      <c r="O1399" s="2">
        <f>I1399*J1399/60/M1399</f>
        <v/>
      </c>
      <c r="P1399" s="2">
        <f>K1399/J1399</f>
        <v/>
      </c>
      <c r="Q1399" s="2">
        <f>N1399*O1399*P1399</f>
        <v/>
      </c>
    </row>
    <row r="1400">
      <c r="A1400" t="inlineStr">
        <is>
          <t>2026-08-28</t>
        </is>
      </c>
      <c r="B1400" t="inlineStr">
        <is>
          <t>주간</t>
        </is>
      </c>
      <c r="C1400" t="inlineStr">
        <is>
          <t>P4</t>
        </is>
      </c>
      <c r="D1400" t="inlineStr">
        <is>
          <t>연삭</t>
        </is>
      </c>
      <c r="E1400" t="inlineStr">
        <is>
          <t>GR-01</t>
        </is>
      </c>
      <c r="F1400" t="n">
        <v>480</v>
      </c>
      <c r="G1400" t="n">
        <v>58</v>
      </c>
      <c r="H1400" t="inlineStr">
        <is>
          <t>공구 교체</t>
        </is>
      </c>
      <c r="I1400" t="n">
        <v>6.2</v>
      </c>
      <c r="J1400" t="n">
        <v>3983</v>
      </c>
      <c r="K1400" t="n">
        <v>3941</v>
      </c>
      <c r="L1400" t="inlineStr">
        <is>
          <t>L-0821</t>
        </is>
      </c>
      <c r="M1400">
        <f>F1400-G1400</f>
        <v/>
      </c>
      <c r="N1400" s="2">
        <f>M1400/F1400</f>
        <v/>
      </c>
      <c r="O1400" s="2">
        <f>I1400*J1400/60/M1400</f>
        <v/>
      </c>
      <c r="P1400" s="2">
        <f>K1400/J1400</f>
        <v/>
      </c>
      <c r="Q1400" s="2">
        <f>N1400*O1400*P1400</f>
        <v/>
      </c>
    </row>
    <row r="1401">
      <c r="A1401" t="inlineStr">
        <is>
          <t>2026-08-28</t>
        </is>
      </c>
      <c r="B1401" t="inlineStr">
        <is>
          <t>주간</t>
        </is>
      </c>
      <c r="C1401" t="inlineStr">
        <is>
          <t>P4</t>
        </is>
      </c>
      <c r="D1401" t="inlineStr">
        <is>
          <t>연삭</t>
        </is>
      </c>
      <c r="E1401" t="inlineStr">
        <is>
          <t>GR-02</t>
        </is>
      </c>
      <c r="F1401" t="n">
        <v>480</v>
      </c>
      <c r="G1401" t="n">
        <v>63</v>
      </c>
      <c r="H1401" t="inlineStr">
        <is>
          <t>드레싱</t>
        </is>
      </c>
      <c r="I1401" t="n">
        <v>6.2</v>
      </c>
      <c r="J1401" t="n">
        <v>3773</v>
      </c>
      <c r="K1401" t="n">
        <v>3734</v>
      </c>
      <c r="L1401" t="inlineStr">
        <is>
          <t>L-0821</t>
        </is>
      </c>
      <c r="M1401">
        <f>F1401-G1401</f>
        <v/>
      </c>
      <c r="N1401" s="2">
        <f>M1401/F1401</f>
        <v/>
      </c>
      <c r="O1401" s="2">
        <f>I1401*J1401/60/M1401</f>
        <v/>
      </c>
      <c r="P1401" s="2">
        <f>K1401/J1401</f>
        <v/>
      </c>
      <c r="Q1401" s="2">
        <f>N1401*O1401*P1401</f>
        <v/>
      </c>
    </row>
    <row r="1402">
      <c r="A1402" t="inlineStr">
        <is>
          <t>2026-08-28</t>
        </is>
      </c>
      <c r="B1402" t="inlineStr">
        <is>
          <t>주간</t>
        </is>
      </c>
      <c r="C1402" t="inlineStr">
        <is>
          <t>P5</t>
        </is>
      </c>
      <c r="D1402" t="inlineStr">
        <is>
          <t>검사</t>
        </is>
      </c>
      <c r="E1402" t="inlineStr">
        <is>
          <t>IN-01</t>
        </is>
      </c>
      <c r="F1402" t="n">
        <v>480</v>
      </c>
      <c r="G1402" t="n">
        <v>2</v>
      </c>
      <c r="H1402" t="inlineStr">
        <is>
          <t>샘플 재검</t>
        </is>
      </c>
      <c r="I1402" t="n">
        <v>5.5</v>
      </c>
      <c r="J1402" t="n">
        <v>4781</v>
      </c>
      <c r="K1402" t="n">
        <v>4767</v>
      </c>
      <c r="L1402" t="inlineStr">
        <is>
          <t>L-0821</t>
        </is>
      </c>
      <c r="M1402">
        <f>F1402-G1402</f>
        <v/>
      </c>
      <c r="N1402" s="2">
        <f>M1402/F1402</f>
        <v/>
      </c>
      <c r="O1402" s="2">
        <f>I1402*J1402/60/M1402</f>
        <v/>
      </c>
      <c r="P1402" s="2">
        <f>K1402/J1402</f>
        <v/>
      </c>
      <c r="Q1402" s="2">
        <f>N1402*O1402*P1402</f>
        <v/>
      </c>
    </row>
    <row r="1403">
      <c r="A1403" t="inlineStr">
        <is>
          <t>2026-08-28</t>
        </is>
      </c>
      <c r="B1403" t="inlineStr">
        <is>
          <t>주간</t>
        </is>
      </c>
      <c r="C1403" t="inlineStr">
        <is>
          <t>P5</t>
        </is>
      </c>
      <c r="D1403" t="inlineStr">
        <is>
          <t>검사</t>
        </is>
      </c>
      <c r="E1403" t="inlineStr">
        <is>
          <t>IN-02</t>
        </is>
      </c>
      <c r="F1403" t="n">
        <v>480</v>
      </c>
      <c r="G1403" t="n">
        <v>29</v>
      </c>
      <c r="H1403" t="inlineStr">
        <is>
          <t>측정기 교정</t>
        </is>
      </c>
      <c r="I1403" t="n">
        <v>5.5</v>
      </c>
      <c r="J1403" t="n">
        <v>4644</v>
      </c>
      <c r="K1403" t="n">
        <v>4630</v>
      </c>
      <c r="L1403" t="inlineStr">
        <is>
          <t>L-0821</t>
        </is>
      </c>
      <c r="M1403">
        <f>F1403-G1403</f>
        <v/>
      </c>
      <c r="N1403" s="2">
        <f>M1403/F1403</f>
        <v/>
      </c>
      <c r="O1403" s="2">
        <f>I1403*J1403/60/M1403</f>
        <v/>
      </c>
      <c r="P1403" s="2">
        <f>K1403/J1403</f>
        <v/>
      </c>
      <c r="Q1403" s="2">
        <f>N1403*O1403*P1403</f>
        <v/>
      </c>
    </row>
    <row r="1404">
      <c r="A1404" t="inlineStr">
        <is>
          <t>2026-08-28</t>
        </is>
      </c>
      <c r="B1404" t="inlineStr">
        <is>
          <t>주간</t>
        </is>
      </c>
      <c r="C1404" t="inlineStr">
        <is>
          <t>P6</t>
        </is>
      </c>
      <c r="D1404" t="inlineStr">
        <is>
          <t>포장</t>
        </is>
      </c>
      <c r="E1404" t="inlineStr">
        <is>
          <t>PK-01</t>
        </is>
      </c>
      <c r="F1404" t="n">
        <v>480</v>
      </c>
      <c r="G1404" t="n">
        <v>53</v>
      </c>
      <c r="H1404" t="inlineStr">
        <is>
          <t>자재 대기</t>
        </is>
      </c>
      <c r="I1404" t="n">
        <v>4.8</v>
      </c>
      <c r="J1404" t="n">
        <v>5213</v>
      </c>
      <c r="K1404" t="n">
        <v>5203</v>
      </c>
      <c r="L1404" t="inlineStr">
        <is>
          <t>L-0821</t>
        </is>
      </c>
      <c r="M1404">
        <f>F1404-G1404</f>
        <v/>
      </c>
      <c r="N1404" s="2">
        <f>M1404/F1404</f>
        <v/>
      </c>
      <c r="O1404" s="2">
        <f>I1404*J1404/60/M1404</f>
        <v/>
      </c>
      <c r="P1404" s="2">
        <f>K1404/J1404</f>
        <v/>
      </c>
      <c r="Q1404" s="2">
        <f>N1404*O1404*P1404</f>
        <v/>
      </c>
    </row>
    <row r="1405">
      <c r="A1405" t="inlineStr">
        <is>
          <t>2026-08-28</t>
        </is>
      </c>
      <c r="B1405" t="inlineStr">
        <is>
          <t>주간</t>
        </is>
      </c>
      <c r="C1405" t="inlineStr">
        <is>
          <t>P6</t>
        </is>
      </c>
      <c r="D1405" t="inlineStr">
        <is>
          <t>포장</t>
        </is>
      </c>
      <c r="E1405" t="inlineStr">
        <is>
          <t>PK-02</t>
        </is>
      </c>
      <c r="F1405" t="n">
        <v>480</v>
      </c>
      <c r="G1405" t="n">
        <v>17</v>
      </c>
      <c r="H1405" t="inlineStr">
        <is>
          <t>자재 대기</t>
        </is>
      </c>
      <c r="I1405" t="n">
        <v>4.8</v>
      </c>
      <c r="J1405" t="n">
        <v>5156</v>
      </c>
      <c r="K1405" t="n">
        <v>5146</v>
      </c>
      <c r="L1405" t="inlineStr">
        <is>
          <t>L-0821</t>
        </is>
      </c>
      <c r="M1405">
        <f>F1405-G1405</f>
        <v/>
      </c>
      <c r="N1405" s="2">
        <f>M1405/F1405</f>
        <v/>
      </c>
      <c r="O1405" s="2">
        <f>I1405*J1405/60/M1405</f>
        <v/>
      </c>
      <c r="P1405" s="2">
        <f>K1405/J1405</f>
        <v/>
      </c>
      <c r="Q1405" s="2">
        <f>N1405*O1405*P1405</f>
        <v/>
      </c>
    </row>
    <row r="1406">
      <c r="A1406" t="inlineStr">
        <is>
          <t>2026-08-28</t>
        </is>
      </c>
      <c r="B1406" t="inlineStr">
        <is>
          <t>야간</t>
        </is>
      </c>
      <c r="C1406" t="inlineStr">
        <is>
          <t>P1</t>
        </is>
      </c>
      <c r="D1406" t="inlineStr">
        <is>
          <t>원료혼합</t>
        </is>
      </c>
      <c r="E1406" t="inlineStr">
        <is>
          <t>MX-01</t>
        </is>
      </c>
      <c r="F1406" t="n">
        <v>480</v>
      </c>
      <c r="G1406" t="n">
        <v>26</v>
      </c>
      <c r="H1406" t="inlineStr">
        <is>
          <t>청소</t>
        </is>
      </c>
      <c r="I1406" t="n">
        <v>5</v>
      </c>
      <c r="J1406" t="n">
        <v>5100</v>
      </c>
      <c r="K1406" t="n">
        <v>5064</v>
      </c>
      <c r="L1406" t="inlineStr">
        <is>
          <t>L-0821</t>
        </is>
      </c>
      <c r="M1406">
        <f>F1406-G1406</f>
        <v/>
      </c>
      <c r="N1406" s="2">
        <f>M1406/F1406</f>
        <v/>
      </c>
      <c r="O1406" s="2">
        <f>I1406*J1406/60/M1406</f>
        <v/>
      </c>
      <c r="P1406" s="2">
        <f>K1406/J1406</f>
        <v/>
      </c>
      <c r="Q1406" s="2">
        <f>N1406*O1406*P1406</f>
        <v/>
      </c>
    </row>
    <row r="1407">
      <c r="A1407" t="inlineStr">
        <is>
          <t>2026-08-28</t>
        </is>
      </c>
      <c r="B1407" t="inlineStr">
        <is>
          <t>야간</t>
        </is>
      </c>
      <c r="C1407" t="inlineStr">
        <is>
          <t>P1</t>
        </is>
      </c>
      <c r="D1407" t="inlineStr">
        <is>
          <t>원료혼합</t>
        </is>
      </c>
      <c r="E1407" t="inlineStr">
        <is>
          <t>MX-02</t>
        </is>
      </c>
      <c r="F1407" t="n">
        <v>480</v>
      </c>
      <c r="G1407" t="n">
        <v>19</v>
      </c>
      <c r="H1407" t="inlineStr">
        <is>
          <t>청소</t>
        </is>
      </c>
      <c r="I1407" t="n">
        <v>5</v>
      </c>
      <c r="J1407" t="n">
        <v>5352</v>
      </c>
      <c r="K1407" t="n">
        <v>5311</v>
      </c>
      <c r="L1407" t="inlineStr">
        <is>
          <t>L-0821</t>
        </is>
      </c>
      <c r="M1407">
        <f>F1407-G1407</f>
        <v/>
      </c>
      <c r="N1407" s="2">
        <f>M1407/F1407</f>
        <v/>
      </c>
      <c r="O1407" s="2">
        <f>I1407*J1407/60/M1407</f>
        <v/>
      </c>
      <c r="P1407" s="2">
        <f>K1407/J1407</f>
        <v/>
      </c>
      <c r="Q1407" s="2">
        <f>N1407*O1407*P1407</f>
        <v/>
      </c>
    </row>
    <row r="1408">
      <c r="A1408" t="inlineStr">
        <is>
          <t>2026-08-28</t>
        </is>
      </c>
      <c r="B1408" t="inlineStr">
        <is>
          <t>야간</t>
        </is>
      </c>
      <c r="C1408" t="inlineStr">
        <is>
          <t>P2</t>
        </is>
      </c>
      <c r="D1408" t="inlineStr">
        <is>
          <t>성형</t>
        </is>
      </c>
      <c r="E1408" t="inlineStr">
        <is>
          <t>PR-01</t>
        </is>
      </c>
      <c r="F1408" t="n">
        <v>480</v>
      </c>
      <c r="G1408" t="n">
        <v>2</v>
      </c>
      <c r="H1408" t="inlineStr">
        <is>
          <t>압력 이상</t>
        </is>
      </c>
      <c r="I1408" t="n">
        <v>6</v>
      </c>
      <c r="J1408" t="n">
        <v>4456</v>
      </c>
      <c r="K1408" t="n">
        <v>4414</v>
      </c>
      <c r="L1408" t="inlineStr">
        <is>
          <t>L-0821</t>
        </is>
      </c>
      <c r="M1408">
        <f>F1408-G1408</f>
        <v/>
      </c>
      <c r="N1408" s="2">
        <f>M1408/F1408</f>
        <v/>
      </c>
      <c r="O1408" s="2">
        <f>I1408*J1408/60/M1408</f>
        <v/>
      </c>
      <c r="P1408" s="2">
        <f>K1408/J1408</f>
        <v/>
      </c>
      <c r="Q1408" s="2">
        <f>N1408*O1408*P1408</f>
        <v/>
      </c>
    </row>
    <row r="1409">
      <c r="A1409" t="inlineStr">
        <is>
          <t>2026-08-28</t>
        </is>
      </c>
      <c r="B1409" t="inlineStr">
        <is>
          <t>야간</t>
        </is>
      </c>
      <c r="C1409" t="inlineStr">
        <is>
          <t>P2</t>
        </is>
      </c>
      <c r="D1409" t="inlineStr">
        <is>
          <t>성형</t>
        </is>
      </c>
      <c r="E1409" t="inlineStr">
        <is>
          <t>PR-02</t>
        </is>
      </c>
      <c r="F1409" t="n">
        <v>480</v>
      </c>
      <c r="G1409" t="n">
        <v>3</v>
      </c>
      <c r="H1409" t="inlineStr">
        <is>
          <t>금형 교체</t>
        </is>
      </c>
      <c r="I1409" t="n">
        <v>6</v>
      </c>
      <c r="J1409" t="n">
        <v>4422</v>
      </c>
      <c r="K1409" t="n">
        <v>4369</v>
      </c>
      <c r="L1409" t="inlineStr">
        <is>
          <t>L-0821</t>
        </is>
      </c>
      <c r="M1409">
        <f>F1409-G1409</f>
        <v/>
      </c>
      <c r="N1409" s="2">
        <f>M1409/F1409</f>
        <v/>
      </c>
      <c r="O1409" s="2">
        <f>I1409*J1409/60/M1409</f>
        <v/>
      </c>
      <c r="P1409" s="2">
        <f>K1409/J1409</f>
        <v/>
      </c>
      <c r="Q1409" s="2">
        <f>N1409*O1409*P1409</f>
        <v/>
      </c>
    </row>
    <row r="1410">
      <c r="A1410" t="inlineStr">
        <is>
          <t>2026-08-28</t>
        </is>
      </c>
      <c r="B1410" t="inlineStr">
        <is>
          <t>야간</t>
        </is>
      </c>
      <c r="C1410" t="inlineStr">
        <is>
          <t>P3</t>
        </is>
      </c>
      <c r="D1410" t="inlineStr">
        <is>
          <t>소결</t>
        </is>
      </c>
      <c r="E1410" t="inlineStr">
        <is>
          <t>SF-01</t>
        </is>
      </c>
      <c r="F1410" t="n">
        <v>480</v>
      </c>
      <c r="G1410" t="n">
        <v>65</v>
      </c>
      <c r="H1410" t="inlineStr">
        <is>
          <t>승온 대기</t>
        </is>
      </c>
      <c r="I1410" t="n">
        <v>6.5</v>
      </c>
      <c r="J1410" t="n">
        <v>3386</v>
      </c>
      <c r="K1410" t="n">
        <v>3318</v>
      </c>
      <c r="L1410" t="inlineStr">
        <is>
          <t>L-0821</t>
        </is>
      </c>
      <c r="M1410">
        <f>F1410-G1410</f>
        <v/>
      </c>
      <c r="N1410" s="2">
        <f>M1410/F1410</f>
        <v/>
      </c>
      <c r="O1410" s="2">
        <f>I1410*J1410/60/M1410</f>
        <v/>
      </c>
      <c r="P1410" s="2">
        <f>K1410/J1410</f>
        <v/>
      </c>
      <c r="Q1410" s="2">
        <f>N1410*O1410*P1410</f>
        <v/>
      </c>
    </row>
    <row r="1411">
      <c r="A1411" t="inlineStr">
        <is>
          <t>2026-08-28</t>
        </is>
      </c>
      <c r="B1411" t="inlineStr">
        <is>
          <t>야간</t>
        </is>
      </c>
      <c r="C1411" t="inlineStr">
        <is>
          <t>P3</t>
        </is>
      </c>
      <c r="D1411" t="inlineStr">
        <is>
          <t>소결</t>
        </is>
      </c>
      <c r="E1411" t="inlineStr">
        <is>
          <t>SF-02</t>
        </is>
      </c>
      <c r="F1411" t="n">
        <v>480</v>
      </c>
      <c r="G1411" t="n">
        <v>61</v>
      </c>
      <c r="H1411" t="inlineStr">
        <is>
          <t>재가열</t>
        </is>
      </c>
      <c r="I1411" t="n">
        <v>6.5</v>
      </c>
      <c r="J1411" t="n">
        <v>3401</v>
      </c>
      <c r="K1411" t="n">
        <v>3125</v>
      </c>
      <c r="L1411" t="inlineStr">
        <is>
          <t>L-0821</t>
        </is>
      </c>
      <c r="M1411">
        <f>F1411-G1411</f>
        <v/>
      </c>
      <c r="N1411" s="2">
        <f>M1411/F1411</f>
        <v/>
      </c>
      <c r="O1411" s="2">
        <f>I1411*J1411/60/M1411</f>
        <v/>
      </c>
      <c r="P1411" s="2">
        <f>K1411/J1411</f>
        <v/>
      </c>
      <c r="Q1411" s="2">
        <f>N1411*O1411*P1411</f>
        <v/>
      </c>
    </row>
    <row r="1412">
      <c r="A1412" t="inlineStr">
        <is>
          <t>2026-08-28</t>
        </is>
      </c>
      <c r="B1412" t="inlineStr">
        <is>
          <t>야간</t>
        </is>
      </c>
      <c r="C1412" t="inlineStr">
        <is>
          <t>P4</t>
        </is>
      </c>
      <c r="D1412" t="inlineStr">
        <is>
          <t>연삭</t>
        </is>
      </c>
      <c r="E1412" t="inlineStr">
        <is>
          <t>GR-01</t>
        </is>
      </c>
      <c r="F1412" t="n">
        <v>480</v>
      </c>
      <c r="G1412" t="n">
        <v>76</v>
      </c>
      <c r="H1412" t="inlineStr">
        <is>
          <t>공구 교체</t>
        </is>
      </c>
      <c r="I1412" t="n">
        <v>6.2</v>
      </c>
      <c r="J1412" t="n">
        <v>3686</v>
      </c>
      <c r="K1412" t="n">
        <v>3652</v>
      </c>
      <c r="L1412" t="inlineStr">
        <is>
          <t>L-0821</t>
        </is>
      </c>
      <c r="M1412">
        <f>F1412-G1412</f>
        <v/>
      </c>
      <c r="N1412" s="2">
        <f>M1412/F1412</f>
        <v/>
      </c>
      <c r="O1412" s="2">
        <f>I1412*J1412/60/M1412</f>
        <v/>
      </c>
      <c r="P1412" s="2">
        <f>K1412/J1412</f>
        <v/>
      </c>
      <c r="Q1412" s="2">
        <f>N1412*O1412*P1412</f>
        <v/>
      </c>
    </row>
    <row r="1413">
      <c r="A1413" t="inlineStr">
        <is>
          <t>2026-08-28</t>
        </is>
      </c>
      <c r="B1413" t="inlineStr">
        <is>
          <t>야간</t>
        </is>
      </c>
      <c r="C1413" t="inlineStr">
        <is>
          <t>P4</t>
        </is>
      </c>
      <c r="D1413" t="inlineStr">
        <is>
          <t>연삭</t>
        </is>
      </c>
      <c r="E1413" t="inlineStr">
        <is>
          <t>GR-02</t>
        </is>
      </c>
      <c r="F1413" t="n">
        <v>480</v>
      </c>
      <c r="G1413" t="n">
        <v>51</v>
      </c>
      <c r="H1413" t="inlineStr">
        <is>
          <t>공구 교체</t>
        </is>
      </c>
      <c r="I1413" t="n">
        <v>6.2</v>
      </c>
      <c r="J1413" t="n">
        <v>3942</v>
      </c>
      <c r="K1413" t="n">
        <v>3896</v>
      </c>
      <c r="L1413" t="inlineStr">
        <is>
          <t>L-0821</t>
        </is>
      </c>
      <c r="M1413">
        <f>F1413-G1413</f>
        <v/>
      </c>
      <c r="N1413" s="2">
        <f>M1413/F1413</f>
        <v/>
      </c>
      <c r="O1413" s="2">
        <f>I1413*J1413/60/M1413</f>
        <v/>
      </c>
      <c r="P1413" s="2">
        <f>K1413/J1413</f>
        <v/>
      </c>
      <c r="Q1413" s="2">
        <f>N1413*O1413*P1413</f>
        <v/>
      </c>
    </row>
    <row r="1414">
      <c r="A1414" t="inlineStr">
        <is>
          <t>2026-08-28</t>
        </is>
      </c>
      <c r="B1414" t="inlineStr">
        <is>
          <t>야간</t>
        </is>
      </c>
      <c r="C1414" t="inlineStr">
        <is>
          <t>P5</t>
        </is>
      </c>
      <c r="D1414" t="inlineStr">
        <is>
          <t>검사</t>
        </is>
      </c>
      <c r="E1414" t="inlineStr">
        <is>
          <t>IN-01</t>
        </is>
      </c>
      <c r="F1414" t="n">
        <v>480</v>
      </c>
      <c r="G1414" t="n">
        <v>20</v>
      </c>
      <c r="H1414" t="inlineStr">
        <is>
          <t>측정기 교정</t>
        </is>
      </c>
      <c r="I1414" t="n">
        <v>5.5</v>
      </c>
      <c r="J1414" t="n">
        <v>4769</v>
      </c>
      <c r="K1414" t="n">
        <v>4749</v>
      </c>
      <c r="L1414" t="inlineStr">
        <is>
          <t>L-0821</t>
        </is>
      </c>
      <c r="M1414">
        <f>F1414-G1414</f>
        <v/>
      </c>
      <c r="N1414" s="2">
        <f>M1414/F1414</f>
        <v/>
      </c>
      <c r="O1414" s="2">
        <f>I1414*J1414/60/M1414</f>
        <v/>
      </c>
      <c r="P1414" s="2">
        <f>K1414/J1414</f>
        <v/>
      </c>
      <c r="Q1414" s="2">
        <f>N1414*O1414*P1414</f>
        <v/>
      </c>
    </row>
    <row r="1415">
      <c r="A1415" t="inlineStr">
        <is>
          <t>2026-08-28</t>
        </is>
      </c>
      <c r="B1415" t="inlineStr">
        <is>
          <t>야간</t>
        </is>
      </c>
      <c r="C1415" t="inlineStr">
        <is>
          <t>P5</t>
        </is>
      </c>
      <c r="D1415" t="inlineStr">
        <is>
          <t>검사</t>
        </is>
      </c>
      <c r="E1415" t="inlineStr">
        <is>
          <t>IN-02</t>
        </is>
      </c>
      <c r="F1415" t="n">
        <v>480</v>
      </c>
      <c r="G1415" t="n">
        <v>28</v>
      </c>
      <c r="H1415" t="inlineStr">
        <is>
          <t>측정기 교정</t>
        </is>
      </c>
      <c r="I1415" t="n">
        <v>5.5</v>
      </c>
      <c r="J1415" t="n">
        <v>4530</v>
      </c>
      <c r="K1415" t="n">
        <v>4514</v>
      </c>
      <c r="L1415" t="inlineStr">
        <is>
          <t>L-0821</t>
        </is>
      </c>
      <c r="M1415">
        <f>F1415-G1415</f>
        <v/>
      </c>
      <c r="N1415" s="2">
        <f>M1415/F1415</f>
        <v/>
      </c>
      <c r="O1415" s="2">
        <f>I1415*J1415/60/M1415</f>
        <v/>
      </c>
      <c r="P1415" s="2">
        <f>K1415/J1415</f>
        <v/>
      </c>
      <c r="Q1415" s="2">
        <f>N1415*O1415*P1415</f>
        <v/>
      </c>
    </row>
    <row r="1416">
      <c r="A1416" t="inlineStr">
        <is>
          <t>2026-08-28</t>
        </is>
      </c>
      <c r="B1416" t="inlineStr">
        <is>
          <t>야간</t>
        </is>
      </c>
      <c r="C1416" t="inlineStr">
        <is>
          <t>P6</t>
        </is>
      </c>
      <c r="D1416" t="inlineStr">
        <is>
          <t>포장</t>
        </is>
      </c>
      <c r="E1416" t="inlineStr">
        <is>
          <t>PK-01</t>
        </is>
      </c>
      <c r="F1416" t="n">
        <v>480</v>
      </c>
      <c r="G1416" t="n">
        <v>32</v>
      </c>
      <c r="H1416" t="inlineStr">
        <is>
          <t>라벨 교체</t>
        </is>
      </c>
      <c r="I1416" t="n">
        <v>4.8</v>
      </c>
      <c r="J1416" t="n">
        <v>5399</v>
      </c>
      <c r="K1416" t="n">
        <v>5383</v>
      </c>
      <c r="L1416" t="inlineStr">
        <is>
          <t>L-0821</t>
        </is>
      </c>
      <c r="M1416">
        <f>F1416-G1416</f>
        <v/>
      </c>
      <c r="N1416" s="2">
        <f>M1416/F1416</f>
        <v/>
      </c>
      <c r="O1416" s="2">
        <f>I1416*J1416/60/M1416</f>
        <v/>
      </c>
      <c r="P1416" s="2">
        <f>K1416/J1416</f>
        <v/>
      </c>
      <c r="Q1416" s="2">
        <f>N1416*O1416*P1416</f>
        <v/>
      </c>
    </row>
    <row r="1417">
      <c r="A1417" t="inlineStr">
        <is>
          <t>2026-08-28</t>
        </is>
      </c>
      <c r="B1417" t="inlineStr">
        <is>
          <t>야간</t>
        </is>
      </c>
      <c r="C1417" t="inlineStr">
        <is>
          <t>P6</t>
        </is>
      </c>
      <c r="D1417" t="inlineStr">
        <is>
          <t>포장</t>
        </is>
      </c>
      <c r="E1417" t="inlineStr">
        <is>
          <t>PK-02</t>
        </is>
      </c>
      <c r="F1417" t="n">
        <v>480</v>
      </c>
      <c r="G1417" t="n">
        <v>8</v>
      </c>
      <c r="H1417" t="inlineStr">
        <is>
          <t>라벨 교체</t>
        </is>
      </c>
      <c r="I1417" t="n">
        <v>4.8</v>
      </c>
      <c r="J1417" t="n">
        <v>5559</v>
      </c>
      <c r="K1417" t="n">
        <v>5544</v>
      </c>
      <c r="L1417" t="inlineStr">
        <is>
          <t>L-0821</t>
        </is>
      </c>
      <c r="M1417">
        <f>F1417-G1417</f>
        <v/>
      </c>
      <c r="N1417" s="2">
        <f>M1417/F1417</f>
        <v/>
      </c>
      <c r="O1417" s="2">
        <f>I1417*J1417/60/M1417</f>
        <v/>
      </c>
      <c r="P1417" s="2">
        <f>K1417/J1417</f>
        <v/>
      </c>
      <c r="Q1417" s="2">
        <f>N1417*O1417*P1417</f>
        <v/>
      </c>
    </row>
    <row r="1418">
      <c r="A1418" t="inlineStr">
        <is>
          <t>2026-08-29</t>
        </is>
      </c>
      <c r="B1418" t="inlineStr">
        <is>
          <t>주간</t>
        </is>
      </c>
      <c r="C1418" t="inlineStr">
        <is>
          <t>P1</t>
        </is>
      </c>
      <c r="D1418" t="inlineStr">
        <is>
          <t>원료혼합</t>
        </is>
      </c>
      <c r="E1418" t="inlineStr">
        <is>
          <t>MX-01</t>
        </is>
      </c>
      <c r="F1418" t="n">
        <v>480</v>
      </c>
      <c r="G1418" t="n">
        <v>5</v>
      </c>
      <c r="H1418" t="inlineStr">
        <is>
          <t>청소</t>
        </is>
      </c>
      <c r="I1418" t="n">
        <v>5</v>
      </c>
      <c r="J1418" t="n">
        <v>4962</v>
      </c>
      <c r="K1418" t="n">
        <v>4937</v>
      </c>
      <c r="L1418" t="inlineStr">
        <is>
          <t>L-0821</t>
        </is>
      </c>
      <c r="M1418">
        <f>F1418-G1418</f>
        <v/>
      </c>
      <c r="N1418" s="2">
        <f>M1418/F1418</f>
        <v/>
      </c>
      <c r="O1418" s="2">
        <f>I1418*J1418/60/M1418</f>
        <v/>
      </c>
      <c r="P1418" s="2">
        <f>K1418/J1418</f>
        <v/>
      </c>
      <c r="Q1418" s="2">
        <f>N1418*O1418*P1418</f>
        <v/>
      </c>
    </row>
    <row r="1419">
      <c r="A1419" t="inlineStr">
        <is>
          <t>2026-08-29</t>
        </is>
      </c>
      <c r="B1419" t="inlineStr">
        <is>
          <t>주간</t>
        </is>
      </c>
      <c r="C1419" t="inlineStr">
        <is>
          <t>P1</t>
        </is>
      </c>
      <c r="D1419" t="inlineStr">
        <is>
          <t>원료혼합</t>
        </is>
      </c>
      <c r="E1419" t="inlineStr">
        <is>
          <t>MX-02</t>
        </is>
      </c>
      <c r="F1419" t="n">
        <v>480</v>
      </c>
      <c r="G1419" t="n">
        <v>4</v>
      </c>
      <c r="H1419" t="inlineStr">
        <is>
          <t>원료 대기</t>
        </is>
      </c>
      <c r="I1419" t="n">
        <v>5</v>
      </c>
      <c r="J1419" t="n">
        <v>5389</v>
      </c>
      <c r="K1419" t="n">
        <v>5350</v>
      </c>
      <c r="L1419" t="inlineStr">
        <is>
          <t>L-0821</t>
        </is>
      </c>
      <c r="M1419">
        <f>F1419-G1419</f>
        <v/>
      </c>
      <c r="N1419" s="2">
        <f>M1419/F1419</f>
        <v/>
      </c>
      <c r="O1419" s="2">
        <f>I1419*J1419/60/M1419</f>
        <v/>
      </c>
      <c r="P1419" s="2">
        <f>K1419/J1419</f>
        <v/>
      </c>
      <c r="Q1419" s="2">
        <f>N1419*O1419*P1419</f>
        <v/>
      </c>
    </row>
    <row r="1420">
      <c r="A1420" t="inlineStr">
        <is>
          <t>2026-08-29</t>
        </is>
      </c>
      <c r="B1420" t="inlineStr">
        <is>
          <t>주간</t>
        </is>
      </c>
      <c r="C1420" t="inlineStr">
        <is>
          <t>P2</t>
        </is>
      </c>
      <c r="D1420" t="inlineStr">
        <is>
          <t>성형</t>
        </is>
      </c>
      <c r="E1420" t="inlineStr">
        <is>
          <t>PR-01</t>
        </is>
      </c>
      <c r="F1420" t="n">
        <v>480</v>
      </c>
      <c r="G1420" t="n">
        <v>11</v>
      </c>
      <c r="H1420" t="inlineStr">
        <is>
          <t>압력 이상</t>
        </is>
      </c>
      <c r="I1420" t="n">
        <v>6</v>
      </c>
      <c r="J1420" t="n">
        <v>4575</v>
      </c>
      <c r="K1420" t="n">
        <v>4530</v>
      </c>
      <c r="L1420" t="inlineStr">
        <is>
          <t>L-0821</t>
        </is>
      </c>
      <c r="M1420">
        <f>F1420-G1420</f>
        <v/>
      </c>
      <c r="N1420" s="2">
        <f>M1420/F1420</f>
        <v/>
      </c>
      <c r="O1420" s="2">
        <f>I1420*J1420/60/M1420</f>
        <v/>
      </c>
      <c r="P1420" s="2">
        <f>K1420/J1420</f>
        <v/>
      </c>
      <c r="Q1420" s="2">
        <f>N1420*O1420*P1420</f>
        <v/>
      </c>
    </row>
    <row r="1421">
      <c r="A1421" t="inlineStr">
        <is>
          <t>2026-08-29</t>
        </is>
      </c>
      <c r="B1421" t="inlineStr">
        <is>
          <t>주간</t>
        </is>
      </c>
      <c r="C1421" t="inlineStr">
        <is>
          <t>P2</t>
        </is>
      </c>
      <c r="D1421" t="inlineStr">
        <is>
          <t>성형</t>
        </is>
      </c>
      <c r="E1421" t="inlineStr">
        <is>
          <t>PR-02</t>
        </is>
      </c>
      <c r="F1421" t="n">
        <v>480</v>
      </c>
      <c r="G1421" t="n">
        <v>12</v>
      </c>
      <c r="H1421" t="inlineStr">
        <is>
          <t>분말 공급 지연</t>
        </is>
      </c>
      <c r="I1421" t="n">
        <v>6</v>
      </c>
      <c r="J1421" t="n">
        <v>4197</v>
      </c>
      <c r="K1421" t="n">
        <v>4160</v>
      </c>
      <c r="L1421" t="inlineStr">
        <is>
          <t>L-0821</t>
        </is>
      </c>
      <c r="M1421">
        <f>F1421-G1421</f>
        <v/>
      </c>
      <c r="N1421" s="2">
        <f>M1421/F1421</f>
        <v/>
      </c>
      <c r="O1421" s="2">
        <f>I1421*J1421/60/M1421</f>
        <v/>
      </c>
      <c r="P1421" s="2">
        <f>K1421/J1421</f>
        <v/>
      </c>
      <c r="Q1421" s="2">
        <f>N1421*O1421*P1421</f>
        <v/>
      </c>
    </row>
    <row r="1422">
      <c r="A1422" t="inlineStr">
        <is>
          <t>2026-08-29</t>
        </is>
      </c>
      <c r="B1422" t="inlineStr">
        <is>
          <t>주간</t>
        </is>
      </c>
      <c r="C1422" t="inlineStr">
        <is>
          <t>P3</t>
        </is>
      </c>
      <c r="D1422" t="inlineStr">
        <is>
          <t>소결</t>
        </is>
      </c>
      <c r="E1422" t="inlineStr">
        <is>
          <t>SF-01</t>
        </is>
      </c>
      <c r="F1422" t="n">
        <v>480</v>
      </c>
      <c r="G1422" t="n">
        <v>83</v>
      </c>
      <c r="H1422" t="inlineStr">
        <is>
          <t>재가열</t>
        </is>
      </c>
      <c r="I1422" t="n">
        <v>6.5</v>
      </c>
      <c r="J1422" t="n">
        <v>3482</v>
      </c>
      <c r="K1422" t="n">
        <v>3416</v>
      </c>
      <c r="L1422" t="inlineStr">
        <is>
          <t>L-0821</t>
        </is>
      </c>
      <c r="M1422">
        <f>F1422-G1422</f>
        <v/>
      </c>
      <c r="N1422" s="2">
        <f>M1422/F1422</f>
        <v/>
      </c>
      <c r="O1422" s="2">
        <f>I1422*J1422/60/M1422</f>
        <v/>
      </c>
      <c r="P1422" s="2">
        <f>K1422/J1422</f>
        <v/>
      </c>
      <c r="Q1422" s="2">
        <f>N1422*O1422*P1422</f>
        <v/>
      </c>
    </row>
    <row r="1423">
      <c r="A1423" t="inlineStr">
        <is>
          <t>2026-08-29</t>
        </is>
      </c>
      <c r="B1423" t="inlineStr">
        <is>
          <t>주간</t>
        </is>
      </c>
      <c r="C1423" t="inlineStr">
        <is>
          <t>P3</t>
        </is>
      </c>
      <c r="D1423" t="inlineStr">
        <is>
          <t>소결</t>
        </is>
      </c>
      <c r="E1423" t="inlineStr">
        <is>
          <t>SF-02</t>
        </is>
      </c>
      <c r="F1423" t="n">
        <v>480</v>
      </c>
      <c r="G1423" t="n">
        <v>89</v>
      </c>
      <c r="H1423" t="inlineStr">
        <is>
          <t>재가열</t>
        </is>
      </c>
      <c r="I1423" t="n">
        <v>6.5</v>
      </c>
      <c r="J1423" t="n">
        <v>3092</v>
      </c>
      <c r="K1423" t="n">
        <v>2901</v>
      </c>
      <c r="L1423" t="inlineStr">
        <is>
          <t>L-0821</t>
        </is>
      </c>
      <c r="M1423">
        <f>F1423-G1423</f>
        <v/>
      </c>
      <c r="N1423" s="2">
        <f>M1423/F1423</f>
        <v/>
      </c>
      <c r="O1423" s="2">
        <f>I1423*J1423/60/M1423</f>
        <v/>
      </c>
      <c r="P1423" s="2">
        <f>K1423/J1423</f>
        <v/>
      </c>
      <c r="Q1423" s="2">
        <f>N1423*O1423*P1423</f>
        <v/>
      </c>
    </row>
    <row r="1424">
      <c r="A1424" t="inlineStr">
        <is>
          <t>2026-08-29</t>
        </is>
      </c>
      <c r="B1424" t="inlineStr">
        <is>
          <t>주간</t>
        </is>
      </c>
      <c r="C1424" t="inlineStr">
        <is>
          <t>P4</t>
        </is>
      </c>
      <c r="D1424" t="inlineStr">
        <is>
          <t>연삭</t>
        </is>
      </c>
      <c r="E1424" t="inlineStr">
        <is>
          <t>GR-01</t>
        </is>
      </c>
      <c r="F1424" t="n">
        <v>480</v>
      </c>
      <c r="G1424" t="n">
        <v>52</v>
      </c>
      <c r="H1424" t="inlineStr">
        <is>
          <t>공구 교체</t>
        </is>
      </c>
      <c r="I1424" t="n">
        <v>6.2</v>
      </c>
      <c r="J1424" t="n">
        <v>3850</v>
      </c>
      <c r="K1424" t="n">
        <v>3819</v>
      </c>
      <c r="L1424" t="inlineStr">
        <is>
          <t>L-0821</t>
        </is>
      </c>
      <c r="M1424">
        <f>F1424-G1424</f>
        <v/>
      </c>
      <c r="N1424" s="2">
        <f>M1424/F1424</f>
        <v/>
      </c>
      <c r="O1424" s="2">
        <f>I1424*J1424/60/M1424</f>
        <v/>
      </c>
      <c r="P1424" s="2">
        <f>K1424/J1424</f>
        <v/>
      </c>
      <c r="Q1424" s="2">
        <f>N1424*O1424*P1424</f>
        <v/>
      </c>
    </row>
    <row r="1425">
      <c r="A1425" t="inlineStr">
        <is>
          <t>2026-08-29</t>
        </is>
      </c>
      <c r="B1425" t="inlineStr">
        <is>
          <t>주간</t>
        </is>
      </c>
      <c r="C1425" t="inlineStr">
        <is>
          <t>P4</t>
        </is>
      </c>
      <c r="D1425" t="inlineStr">
        <is>
          <t>연삭</t>
        </is>
      </c>
      <c r="E1425" t="inlineStr">
        <is>
          <t>GR-02</t>
        </is>
      </c>
      <c r="F1425" t="n">
        <v>480</v>
      </c>
      <c r="G1425" t="n">
        <v>51</v>
      </c>
      <c r="H1425" t="inlineStr">
        <is>
          <t>드레싱</t>
        </is>
      </c>
      <c r="I1425" t="n">
        <v>6.2</v>
      </c>
      <c r="J1425" t="n">
        <v>3662</v>
      </c>
      <c r="K1425" t="n">
        <v>3626</v>
      </c>
      <c r="L1425" t="inlineStr">
        <is>
          <t>L-0821</t>
        </is>
      </c>
      <c r="M1425">
        <f>F1425-G1425</f>
        <v/>
      </c>
      <c r="N1425" s="2">
        <f>M1425/F1425</f>
        <v/>
      </c>
      <c r="O1425" s="2">
        <f>I1425*J1425/60/M1425</f>
        <v/>
      </c>
      <c r="P1425" s="2">
        <f>K1425/J1425</f>
        <v/>
      </c>
      <c r="Q1425" s="2">
        <f>N1425*O1425*P1425</f>
        <v/>
      </c>
    </row>
    <row r="1426">
      <c r="A1426" t="inlineStr">
        <is>
          <t>2026-08-29</t>
        </is>
      </c>
      <c r="B1426" t="inlineStr">
        <is>
          <t>주간</t>
        </is>
      </c>
      <c r="C1426" t="inlineStr">
        <is>
          <t>P5</t>
        </is>
      </c>
      <c r="D1426" t="inlineStr">
        <is>
          <t>검사</t>
        </is>
      </c>
      <c r="E1426" t="inlineStr">
        <is>
          <t>IN-01</t>
        </is>
      </c>
      <c r="F1426" t="n">
        <v>480</v>
      </c>
      <c r="G1426" t="n">
        <v>34</v>
      </c>
      <c r="H1426" t="inlineStr">
        <is>
          <t>측정기 교정</t>
        </is>
      </c>
      <c r="I1426" t="n">
        <v>5.5</v>
      </c>
      <c r="J1426" t="n">
        <v>4257</v>
      </c>
      <c r="K1426" t="n">
        <v>4244</v>
      </c>
      <c r="L1426" t="inlineStr">
        <is>
          <t>L-0821</t>
        </is>
      </c>
      <c r="M1426">
        <f>F1426-G1426</f>
        <v/>
      </c>
      <c r="N1426" s="2">
        <f>M1426/F1426</f>
        <v/>
      </c>
      <c r="O1426" s="2">
        <f>I1426*J1426/60/M1426</f>
        <v/>
      </c>
      <c r="P1426" s="2">
        <f>K1426/J1426</f>
        <v/>
      </c>
      <c r="Q1426" s="2">
        <f>N1426*O1426*P1426</f>
        <v/>
      </c>
    </row>
    <row r="1427">
      <c r="A1427" t="inlineStr">
        <is>
          <t>2026-08-29</t>
        </is>
      </c>
      <c r="B1427" t="inlineStr">
        <is>
          <t>주간</t>
        </is>
      </c>
      <c r="C1427" t="inlineStr">
        <is>
          <t>P5</t>
        </is>
      </c>
      <c r="D1427" t="inlineStr">
        <is>
          <t>검사</t>
        </is>
      </c>
      <c r="E1427" t="inlineStr">
        <is>
          <t>IN-02</t>
        </is>
      </c>
      <c r="F1427" t="n">
        <v>480</v>
      </c>
      <c r="G1427" t="n">
        <v>10</v>
      </c>
      <c r="H1427" t="inlineStr">
        <is>
          <t>측정기 교정</t>
        </is>
      </c>
      <c r="I1427" t="n">
        <v>5.5</v>
      </c>
      <c r="J1427" t="n">
        <v>4811</v>
      </c>
      <c r="K1427" t="n">
        <v>4798</v>
      </c>
      <c r="L1427" t="inlineStr">
        <is>
          <t>L-0821</t>
        </is>
      </c>
      <c r="M1427">
        <f>F1427-G1427</f>
        <v/>
      </c>
      <c r="N1427" s="2">
        <f>M1427/F1427</f>
        <v/>
      </c>
      <c r="O1427" s="2">
        <f>I1427*J1427/60/M1427</f>
        <v/>
      </c>
      <c r="P1427" s="2">
        <f>K1427/J1427</f>
        <v/>
      </c>
      <c r="Q1427" s="2">
        <f>N1427*O1427*P1427</f>
        <v/>
      </c>
    </row>
    <row r="1428">
      <c r="A1428" t="inlineStr">
        <is>
          <t>2026-08-29</t>
        </is>
      </c>
      <c r="B1428" t="inlineStr">
        <is>
          <t>주간</t>
        </is>
      </c>
      <c r="C1428" t="inlineStr">
        <is>
          <t>P6</t>
        </is>
      </c>
      <c r="D1428" t="inlineStr">
        <is>
          <t>포장</t>
        </is>
      </c>
      <c r="E1428" t="inlineStr">
        <is>
          <t>PK-01</t>
        </is>
      </c>
      <c r="F1428" t="n">
        <v>480</v>
      </c>
      <c r="G1428" t="n">
        <v>30</v>
      </c>
      <c r="H1428" t="inlineStr">
        <is>
          <t>자재 대기</t>
        </is>
      </c>
      <c r="I1428" t="n">
        <v>4.8</v>
      </c>
      <c r="J1428" t="n">
        <v>5025</v>
      </c>
      <c r="K1428" t="n">
        <v>5015</v>
      </c>
      <c r="L1428" t="inlineStr">
        <is>
          <t>L-0821</t>
        </is>
      </c>
      <c r="M1428">
        <f>F1428-G1428</f>
        <v/>
      </c>
      <c r="N1428" s="2">
        <f>M1428/F1428</f>
        <v/>
      </c>
      <c r="O1428" s="2">
        <f>I1428*J1428/60/M1428</f>
        <v/>
      </c>
      <c r="P1428" s="2">
        <f>K1428/J1428</f>
        <v/>
      </c>
      <c r="Q1428" s="2">
        <f>N1428*O1428*P1428</f>
        <v/>
      </c>
    </row>
    <row r="1429">
      <c r="A1429" t="inlineStr">
        <is>
          <t>2026-08-29</t>
        </is>
      </c>
      <c r="B1429" t="inlineStr">
        <is>
          <t>주간</t>
        </is>
      </c>
      <c r="C1429" t="inlineStr">
        <is>
          <t>P6</t>
        </is>
      </c>
      <c r="D1429" t="inlineStr">
        <is>
          <t>포장</t>
        </is>
      </c>
      <c r="E1429" t="inlineStr">
        <is>
          <t>PK-02</t>
        </is>
      </c>
      <c r="F1429" t="n">
        <v>480</v>
      </c>
      <c r="G1429" t="n">
        <v>33</v>
      </c>
      <c r="H1429" t="inlineStr">
        <is>
          <t>자재 대기</t>
        </is>
      </c>
      <c r="I1429" t="n">
        <v>4.8</v>
      </c>
      <c r="J1429" t="n">
        <v>4993</v>
      </c>
      <c r="K1429" t="n">
        <v>4984</v>
      </c>
      <c r="L1429" t="inlineStr">
        <is>
          <t>L-0821</t>
        </is>
      </c>
      <c r="M1429">
        <f>F1429-G1429</f>
        <v/>
      </c>
      <c r="N1429" s="2">
        <f>M1429/F1429</f>
        <v/>
      </c>
      <c r="O1429" s="2">
        <f>I1429*J1429/60/M1429</f>
        <v/>
      </c>
      <c r="P1429" s="2">
        <f>K1429/J1429</f>
        <v/>
      </c>
      <c r="Q1429" s="2">
        <f>N1429*O1429*P1429</f>
        <v/>
      </c>
    </row>
    <row r="1430">
      <c r="A1430" t="inlineStr">
        <is>
          <t>2026-08-29</t>
        </is>
      </c>
      <c r="B1430" t="inlineStr">
        <is>
          <t>야간</t>
        </is>
      </c>
      <c r="C1430" t="inlineStr">
        <is>
          <t>P1</t>
        </is>
      </c>
      <c r="D1430" t="inlineStr">
        <is>
          <t>원료혼합</t>
        </is>
      </c>
      <c r="E1430" t="inlineStr">
        <is>
          <t>MX-01</t>
        </is>
      </c>
      <c r="F1430" t="n">
        <v>480</v>
      </c>
      <c r="G1430" t="n">
        <v>9</v>
      </c>
      <c r="H1430" t="inlineStr">
        <is>
          <t>청소</t>
        </is>
      </c>
      <c r="I1430" t="n">
        <v>5</v>
      </c>
      <c r="J1430" t="n">
        <v>5119</v>
      </c>
      <c r="K1430" t="n">
        <v>5087</v>
      </c>
      <c r="L1430" t="inlineStr">
        <is>
          <t>L-0821</t>
        </is>
      </c>
      <c r="M1430">
        <f>F1430-G1430</f>
        <v/>
      </c>
      <c r="N1430" s="2">
        <f>M1430/F1430</f>
        <v/>
      </c>
      <c r="O1430" s="2">
        <f>I1430*J1430/60/M1430</f>
        <v/>
      </c>
      <c r="P1430" s="2">
        <f>K1430/J1430</f>
        <v/>
      </c>
      <c r="Q1430" s="2">
        <f>N1430*O1430*P1430</f>
        <v/>
      </c>
    </row>
    <row r="1431">
      <c r="A1431" t="inlineStr">
        <is>
          <t>2026-08-29</t>
        </is>
      </c>
      <c r="B1431" t="inlineStr">
        <is>
          <t>야간</t>
        </is>
      </c>
      <c r="C1431" t="inlineStr">
        <is>
          <t>P1</t>
        </is>
      </c>
      <c r="D1431" t="inlineStr">
        <is>
          <t>원료혼합</t>
        </is>
      </c>
      <c r="E1431" t="inlineStr">
        <is>
          <t>MX-02</t>
        </is>
      </c>
      <c r="F1431" t="n">
        <v>480</v>
      </c>
      <c r="G1431" t="n">
        <v>6</v>
      </c>
      <c r="H1431" t="inlineStr">
        <is>
          <t>청소</t>
        </is>
      </c>
      <c r="I1431" t="n">
        <v>5</v>
      </c>
      <c r="J1431" t="n">
        <v>5217</v>
      </c>
      <c r="K1431" t="n">
        <v>5183</v>
      </c>
      <c r="L1431" t="inlineStr">
        <is>
          <t>L-0821</t>
        </is>
      </c>
      <c r="M1431">
        <f>F1431-G1431</f>
        <v/>
      </c>
      <c r="N1431" s="2">
        <f>M1431/F1431</f>
        <v/>
      </c>
      <c r="O1431" s="2">
        <f>I1431*J1431/60/M1431</f>
        <v/>
      </c>
      <c r="P1431" s="2">
        <f>K1431/J1431</f>
        <v/>
      </c>
      <c r="Q1431" s="2">
        <f>N1431*O1431*P1431</f>
        <v/>
      </c>
    </row>
    <row r="1432">
      <c r="A1432" t="inlineStr">
        <is>
          <t>2026-08-29</t>
        </is>
      </c>
      <c r="B1432" t="inlineStr">
        <is>
          <t>야간</t>
        </is>
      </c>
      <c r="C1432" t="inlineStr">
        <is>
          <t>P2</t>
        </is>
      </c>
      <c r="D1432" t="inlineStr">
        <is>
          <t>성형</t>
        </is>
      </c>
      <c r="E1432" t="inlineStr">
        <is>
          <t>PR-01</t>
        </is>
      </c>
      <c r="F1432" t="n">
        <v>480</v>
      </c>
      <c r="G1432" t="n">
        <v>26</v>
      </c>
      <c r="H1432" t="inlineStr">
        <is>
          <t>분말 공급 지연</t>
        </is>
      </c>
      <c r="I1432" t="n">
        <v>6</v>
      </c>
      <c r="J1432" t="n">
        <v>4195</v>
      </c>
      <c r="K1432" t="n">
        <v>4160</v>
      </c>
      <c r="L1432" t="inlineStr">
        <is>
          <t>L-0821</t>
        </is>
      </c>
      <c r="M1432">
        <f>F1432-G1432</f>
        <v/>
      </c>
      <c r="N1432" s="2">
        <f>M1432/F1432</f>
        <v/>
      </c>
      <c r="O1432" s="2">
        <f>I1432*J1432/60/M1432</f>
        <v/>
      </c>
      <c r="P1432" s="2">
        <f>K1432/J1432</f>
        <v/>
      </c>
      <c r="Q1432" s="2">
        <f>N1432*O1432*P1432</f>
        <v/>
      </c>
    </row>
    <row r="1433">
      <c r="A1433" t="inlineStr">
        <is>
          <t>2026-08-29</t>
        </is>
      </c>
      <c r="B1433" t="inlineStr">
        <is>
          <t>야간</t>
        </is>
      </c>
      <c r="C1433" t="inlineStr">
        <is>
          <t>P2</t>
        </is>
      </c>
      <c r="D1433" t="inlineStr">
        <is>
          <t>성형</t>
        </is>
      </c>
      <c r="E1433" t="inlineStr">
        <is>
          <t>PR-02</t>
        </is>
      </c>
      <c r="F1433" t="n">
        <v>480</v>
      </c>
      <c r="G1433" t="n">
        <v>17</v>
      </c>
      <c r="H1433" t="inlineStr">
        <is>
          <t>금형 교체</t>
        </is>
      </c>
      <c r="I1433" t="n">
        <v>6</v>
      </c>
      <c r="J1433" t="n">
        <v>4368</v>
      </c>
      <c r="K1433" t="n">
        <v>4327</v>
      </c>
      <c r="L1433" t="inlineStr">
        <is>
          <t>L-0821</t>
        </is>
      </c>
      <c r="M1433">
        <f>F1433-G1433</f>
        <v/>
      </c>
      <c r="N1433" s="2">
        <f>M1433/F1433</f>
        <v/>
      </c>
      <c r="O1433" s="2">
        <f>I1433*J1433/60/M1433</f>
        <v/>
      </c>
      <c r="P1433" s="2">
        <f>K1433/J1433</f>
        <v/>
      </c>
      <c r="Q1433" s="2">
        <f>N1433*O1433*P1433</f>
        <v/>
      </c>
    </row>
    <row r="1434">
      <c r="A1434" t="inlineStr">
        <is>
          <t>2026-08-29</t>
        </is>
      </c>
      <c r="B1434" t="inlineStr">
        <is>
          <t>야간</t>
        </is>
      </c>
      <c r="C1434" t="inlineStr">
        <is>
          <t>P3</t>
        </is>
      </c>
      <c r="D1434" t="inlineStr">
        <is>
          <t>소결</t>
        </is>
      </c>
      <c r="E1434" t="inlineStr">
        <is>
          <t>SF-01</t>
        </is>
      </c>
      <c r="F1434" t="n">
        <v>480</v>
      </c>
      <c r="G1434" t="n">
        <v>47</v>
      </c>
      <c r="H1434" t="inlineStr">
        <is>
          <t>재가열</t>
        </is>
      </c>
      <c r="I1434" t="n">
        <v>6.5</v>
      </c>
      <c r="J1434" t="n">
        <v>3737</v>
      </c>
      <c r="K1434" t="n">
        <v>3659</v>
      </c>
      <c r="L1434" t="inlineStr">
        <is>
          <t>L-0821</t>
        </is>
      </c>
      <c r="M1434">
        <f>F1434-G1434</f>
        <v/>
      </c>
      <c r="N1434" s="2">
        <f>M1434/F1434</f>
        <v/>
      </c>
      <c r="O1434" s="2">
        <f>I1434*J1434/60/M1434</f>
        <v/>
      </c>
      <c r="P1434" s="2">
        <f>K1434/J1434</f>
        <v/>
      </c>
      <c r="Q1434" s="2">
        <f>N1434*O1434*P1434</f>
        <v/>
      </c>
    </row>
    <row r="1435">
      <c r="A1435" t="inlineStr">
        <is>
          <t>2026-08-29</t>
        </is>
      </c>
      <c r="B1435" t="inlineStr">
        <is>
          <t>야간</t>
        </is>
      </c>
      <c r="C1435" t="inlineStr">
        <is>
          <t>P3</t>
        </is>
      </c>
      <c r="D1435" t="inlineStr">
        <is>
          <t>소결</t>
        </is>
      </c>
      <c r="E1435" t="inlineStr">
        <is>
          <t>SF-02</t>
        </is>
      </c>
      <c r="F1435" t="n">
        <v>480</v>
      </c>
      <c r="G1435" t="n">
        <v>99</v>
      </c>
      <c r="H1435" t="inlineStr">
        <is>
          <t>온도 이상 정지</t>
        </is>
      </c>
      <c r="I1435" t="n">
        <v>6.5</v>
      </c>
      <c r="J1435" t="n">
        <v>3134</v>
      </c>
      <c r="K1435" t="n">
        <v>2939</v>
      </c>
      <c r="L1435" t="inlineStr">
        <is>
          <t>L-0821</t>
        </is>
      </c>
      <c r="M1435">
        <f>F1435-G1435</f>
        <v/>
      </c>
      <c r="N1435" s="2">
        <f>M1435/F1435</f>
        <v/>
      </c>
      <c r="O1435" s="2">
        <f>I1435*J1435/60/M1435</f>
        <v/>
      </c>
      <c r="P1435" s="2">
        <f>K1435/J1435</f>
        <v/>
      </c>
      <c r="Q1435" s="2">
        <f>N1435*O1435*P1435</f>
        <v/>
      </c>
    </row>
    <row r="1436">
      <c r="A1436" t="inlineStr">
        <is>
          <t>2026-08-29</t>
        </is>
      </c>
      <c r="B1436" t="inlineStr">
        <is>
          <t>야간</t>
        </is>
      </c>
      <c r="C1436" t="inlineStr">
        <is>
          <t>P4</t>
        </is>
      </c>
      <c r="D1436" t="inlineStr">
        <is>
          <t>연삭</t>
        </is>
      </c>
      <c r="E1436" t="inlineStr">
        <is>
          <t>GR-01</t>
        </is>
      </c>
      <c r="F1436" t="n">
        <v>480</v>
      </c>
      <c r="G1436" t="n">
        <v>91</v>
      </c>
      <c r="H1436" t="inlineStr">
        <is>
          <t>드레싱</t>
        </is>
      </c>
      <c r="I1436" t="n">
        <v>6.2</v>
      </c>
      <c r="J1436" t="n">
        <v>3563</v>
      </c>
      <c r="K1436" t="n">
        <v>3516</v>
      </c>
      <c r="L1436" t="inlineStr">
        <is>
          <t>L-0821</t>
        </is>
      </c>
      <c r="M1436">
        <f>F1436-G1436</f>
        <v/>
      </c>
      <c r="N1436" s="2">
        <f>M1436/F1436</f>
        <v/>
      </c>
      <c r="O1436" s="2">
        <f>I1436*J1436/60/M1436</f>
        <v/>
      </c>
      <c r="P1436" s="2">
        <f>K1436/J1436</f>
        <v/>
      </c>
      <c r="Q1436" s="2">
        <f>N1436*O1436*P1436</f>
        <v/>
      </c>
    </row>
    <row r="1437">
      <c r="A1437" t="inlineStr">
        <is>
          <t>2026-08-29</t>
        </is>
      </c>
      <c r="B1437" t="inlineStr">
        <is>
          <t>야간</t>
        </is>
      </c>
      <c r="C1437" t="inlineStr">
        <is>
          <t>P4</t>
        </is>
      </c>
      <c r="D1437" t="inlineStr">
        <is>
          <t>연삭</t>
        </is>
      </c>
      <c r="E1437" t="inlineStr">
        <is>
          <t>GR-02</t>
        </is>
      </c>
      <c r="F1437" t="n">
        <v>480</v>
      </c>
      <c r="G1437" t="n">
        <v>53</v>
      </c>
      <c r="H1437" t="inlineStr">
        <is>
          <t>공구 교체</t>
        </is>
      </c>
      <c r="I1437" t="n">
        <v>6.2</v>
      </c>
      <c r="J1437" t="n">
        <v>3705</v>
      </c>
      <c r="K1437" t="n">
        <v>3663</v>
      </c>
      <c r="L1437" t="inlineStr">
        <is>
          <t>L-0821</t>
        </is>
      </c>
      <c r="M1437">
        <f>F1437-G1437</f>
        <v/>
      </c>
      <c r="N1437" s="2">
        <f>M1437/F1437</f>
        <v/>
      </c>
      <c r="O1437" s="2">
        <f>I1437*J1437/60/M1437</f>
        <v/>
      </c>
      <c r="P1437" s="2">
        <f>K1437/J1437</f>
        <v/>
      </c>
      <c r="Q1437" s="2">
        <f>N1437*O1437*P1437</f>
        <v/>
      </c>
    </row>
    <row r="1438">
      <c r="A1438" t="inlineStr">
        <is>
          <t>2026-08-29</t>
        </is>
      </c>
      <c r="B1438" t="inlineStr">
        <is>
          <t>야간</t>
        </is>
      </c>
      <c r="C1438" t="inlineStr">
        <is>
          <t>P5</t>
        </is>
      </c>
      <c r="D1438" t="inlineStr">
        <is>
          <t>검사</t>
        </is>
      </c>
      <c r="E1438" t="inlineStr">
        <is>
          <t>IN-01</t>
        </is>
      </c>
      <c r="F1438" t="n">
        <v>480</v>
      </c>
      <c r="G1438" t="n">
        <v>25</v>
      </c>
      <c r="H1438" t="inlineStr">
        <is>
          <t>측정기 교정</t>
        </is>
      </c>
      <c r="I1438" t="n">
        <v>5.5</v>
      </c>
      <c r="J1438" t="n">
        <v>4607</v>
      </c>
      <c r="K1438" t="n">
        <v>4588</v>
      </c>
      <c r="L1438" t="inlineStr">
        <is>
          <t>L-0821</t>
        </is>
      </c>
      <c r="M1438">
        <f>F1438-G1438</f>
        <v/>
      </c>
      <c r="N1438" s="2">
        <f>M1438/F1438</f>
        <v/>
      </c>
      <c r="O1438" s="2">
        <f>I1438*J1438/60/M1438</f>
        <v/>
      </c>
      <c r="P1438" s="2">
        <f>K1438/J1438</f>
        <v/>
      </c>
      <c r="Q1438" s="2">
        <f>N1438*O1438*P1438</f>
        <v/>
      </c>
    </row>
    <row r="1439">
      <c r="A1439" t="inlineStr">
        <is>
          <t>2026-08-29</t>
        </is>
      </c>
      <c r="B1439" t="inlineStr">
        <is>
          <t>야간</t>
        </is>
      </c>
      <c r="C1439" t="inlineStr">
        <is>
          <t>P5</t>
        </is>
      </c>
      <c r="D1439" t="inlineStr">
        <is>
          <t>검사</t>
        </is>
      </c>
      <c r="E1439" t="inlineStr">
        <is>
          <t>IN-02</t>
        </is>
      </c>
      <c r="F1439" t="n">
        <v>480</v>
      </c>
      <c r="G1439" t="n">
        <v>11</v>
      </c>
      <c r="H1439" t="inlineStr">
        <is>
          <t>샘플 재검</t>
        </is>
      </c>
      <c r="I1439" t="n">
        <v>5.5</v>
      </c>
      <c r="J1439" t="n">
        <v>4516</v>
      </c>
      <c r="K1439" t="n">
        <v>4500</v>
      </c>
      <c r="L1439" t="inlineStr">
        <is>
          <t>L-0821</t>
        </is>
      </c>
      <c r="M1439">
        <f>F1439-G1439</f>
        <v/>
      </c>
      <c r="N1439" s="2">
        <f>M1439/F1439</f>
        <v/>
      </c>
      <c r="O1439" s="2">
        <f>I1439*J1439/60/M1439</f>
        <v/>
      </c>
      <c r="P1439" s="2">
        <f>K1439/J1439</f>
        <v/>
      </c>
      <c r="Q1439" s="2">
        <f>N1439*O1439*P1439</f>
        <v/>
      </c>
    </row>
    <row r="1440">
      <c r="A1440" t="inlineStr">
        <is>
          <t>2026-08-29</t>
        </is>
      </c>
      <c r="B1440" t="inlineStr">
        <is>
          <t>야간</t>
        </is>
      </c>
      <c r="C1440" t="inlineStr">
        <is>
          <t>P6</t>
        </is>
      </c>
      <c r="D1440" t="inlineStr">
        <is>
          <t>포장</t>
        </is>
      </c>
      <c r="E1440" t="inlineStr">
        <is>
          <t>PK-01</t>
        </is>
      </c>
      <c r="F1440" t="n">
        <v>480</v>
      </c>
      <c r="G1440" t="n">
        <v>31</v>
      </c>
      <c r="H1440" t="inlineStr">
        <is>
          <t>라벨 교체</t>
        </is>
      </c>
      <c r="I1440" t="n">
        <v>4.8</v>
      </c>
      <c r="J1440" t="n">
        <v>5366</v>
      </c>
      <c r="K1440" t="n">
        <v>5351</v>
      </c>
      <c r="L1440" t="inlineStr">
        <is>
          <t>L-0821</t>
        </is>
      </c>
      <c r="M1440">
        <f>F1440-G1440</f>
        <v/>
      </c>
      <c r="N1440" s="2">
        <f>M1440/F1440</f>
        <v/>
      </c>
      <c r="O1440" s="2">
        <f>I1440*J1440/60/M1440</f>
        <v/>
      </c>
      <c r="P1440" s="2">
        <f>K1440/J1440</f>
        <v/>
      </c>
      <c r="Q1440" s="2">
        <f>N1440*O1440*P1440</f>
        <v/>
      </c>
    </row>
    <row r="1441">
      <c r="A1441" t="inlineStr">
        <is>
          <t>2026-08-29</t>
        </is>
      </c>
      <c r="B1441" t="inlineStr">
        <is>
          <t>야간</t>
        </is>
      </c>
      <c r="C1441" t="inlineStr">
        <is>
          <t>P6</t>
        </is>
      </c>
      <c r="D1441" t="inlineStr">
        <is>
          <t>포장</t>
        </is>
      </c>
      <c r="E1441" t="inlineStr">
        <is>
          <t>PK-02</t>
        </is>
      </c>
      <c r="F1441" t="n">
        <v>480</v>
      </c>
      <c r="G1441" t="n">
        <v>25</v>
      </c>
      <c r="H1441" t="inlineStr">
        <is>
          <t>라벨 교체</t>
        </is>
      </c>
      <c r="I1441" t="n">
        <v>4.8</v>
      </c>
      <c r="J1441" t="n">
        <v>5317</v>
      </c>
      <c r="K1441" t="n">
        <v>5302</v>
      </c>
      <c r="L1441" t="inlineStr">
        <is>
          <t>L-0821</t>
        </is>
      </c>
      <c r="M1441">
        <f>F1441-G1441</f>
        <v/>
      </c>
      <c r="N1441" s="2">
        <f>M1441/F1441</f>
        <v/>
      </c>
      <c r="O1441" s="2">
        <f>I1441*J1441/60/M1441</f>
        <v/>
      </c>
      <c r="P1441" s="2">
        <f>K1441/J1441</f>
        <v/>
      </c>
      <c r="Q1441" s="2">
        <f>N1441*O1441*P1441</f>
        <v/>
      </c>
    </row>
    <row r="1442">
      <c r="A1442" t="inlineStr">
        <is>
          <t>2026-08-30</t>
        </is>
      </c>
      <c r="B1442" t="inlineStr">
        <is>
          <t>주간</t>
        </is>
      </c>
      <c r="C1442" t="inlineStr">
        <is>
          <t>P1</t>
        </is>
      </c>
      <c r="D1442" t="inlineStr">
        <is>
          <t>원료혼합</t>
        </is>
      </c>
      <c r="E1442" t="inlineStr">
        <is>
          <t>MX-01</t>
        </is>
      </c>
      <c r="F1442" t="n">
        <v>480</v>
      </c>
      <c r="G1442" t="n">
        <v>84</v>
      </c>
      <c r="H1442" t="inlineStr">
        <is>
          <t>원료 대기</t>
        </is>
      </c>
      <c r="I1442" t="n">
        <v>5</v>
      </c>
      <c r="J1442" t="n">
        <v>4465</v>
      </c>
      <c r="K1442" t="n">
        <v>4437</v>
      </c>
      <c r="L1442" t="inlineStr">
        <is>
          <t>L-0821</t>
        </is>
      </c>
      <c r="M1442">
        <f>F1442-G1442</f>
        <v/>
      </c>
      <c r="N1442" s="2">
        <f>M1442/F1442</f>
        <v/>
      </c>
      <c r="O1442" s="2">
        <f>I1442*J1442/60/M1442</f>
        <v/>
      </c>
      <c r="P1442" s="2">
        <f>K1442/J1442</f>
        <v/>
      </c>
      <c r="Q1442" s="2">
        <f>N1442*O1442*P1442</f>
        <v/>
      </c>
    </row>
    <row r="1443">
      <c r="A1443" t="inlineStr">
        <is>
          <t>2026-08-30</t>
        </is>
      </c>
      <c r="B1443" t="inlineStr">
        <is>
          <t>주간</t>
        </is>
      </c>
      <c r="C1443" t="inlineStr">
        <is>
          <t>P1</t>
        </is>
      </c>
      <c r="D1443" t="inlineStr">
        <is>
          <t>원료혼합</t>
        </is>
      </c>
      <c r="E1443" t="inlineStr">
        <is>
          <t>MX-02</t>
        </is>
      </c>
      <c r="F1443" t="n">
        <v>480</v>
      </c>
      <c r="G1443" t="n">
        <v>67</v>
      </c>
      <c r="H1443" t="inlineStr">
        <is>
          <t>원료 대기</t>
        </is>
      </c>
      <c r="I1443" t="n">
        <v>5</v>
      </c>
      <c r="J1443" t="n">
        <v>4810</v>
      </c>
      <c r="K1443" t="n">
        <v>4785</v>
      </c>
      <c r="L1443" t="inlineStr">
        <is>
          <t>L-0821</t>
        </is>
      </c>
      <c r="M1443">
        <f>F1443-G1443</f>
        <v/>
      </c>
      <c r="N1443" s="2">
        <f>M1443/F1443</f>
        <v/>
      </c>
      <c r="O1443" s="2">
        <f>I1443*J1443/60/M1443</f>
        <v/>
      </c>
      <c r="P1443" s="2">
        <f>K1443/J1443</f>
        <v/>
      </c>
      <c r="Q1443" s="2">
        <f>N1443*O1443*P1443</f>
        <v/>
      </c>
    </row>
    <row r="1444">
      <c r="A1444" t="inlineStr">
        <is>
          <t>2026-08-30</t>
        </is>
      </c>
      <c r="B1444" t="inlineStr">
        <is>
          <t>주간</t>
        </is>
      </c>
      <c r="C1444" t="inlineStr">
        <is>
          <t>P2</t>
        </is>
      </c>
      <c r="D1444" t="inlineStr">
        <is>
          <t>성형</t>
        </is>
      </c>
      <c r="E1444" t="inlineStr">
        <is>
          <t>PR-01</t>
        </is>
      </c>
      <c r="F1444" t="n">
        <v>480</v>
      </c>
      <c r="G1444" t="n">
        <v>8</v>
      </c>
      <c r="H1444" t="inlineStr">
        <is>
          <t>압력 이상</t>
        </is>
      </c>
      <c r="I1444" t="n">
        <v>6</v>
      </c>
      <c r="J1444" t="n">
        <v>4356</v>
      </c>
      <c r="K1444" t="n">
        <v>4300</v>
      </c>
      <c r="L1444" t="inlineStr">
        <is>
          <t>L-0821</t>
        </is>
      </c>
      <c r="M1444">
        <f>F1444-G1444</f>
        <v/>
      </c>
      <c r="N1444" s="2">
        <f>M1444/F1444</f>
        <v/>
      </c>
      <c r="O1444" s="2">
        <f>I1444*J1444/60/M1444</f>
        <v/>
      </c>
      <c r="P1444" s="2">
        <f>K1444/J1444</f>
        <v/>
      </c>
      <c r="Q1444" s="2">
        <f>N1444*O1444*P1444</f>
        <v/>
      </c>
    </row>
    <row r="1445">
      <c r="A1445" t="inlineStr">
        <is>
          <t>2026-08-30</t>
        </is>
      </c>
      <c r="B1445" t="inlineStr">
        <is>
          <t>주간</t>
        </is>
      </c>
      <c r="C1445" t="inlineStr">
        <is>
          <t>P2</t>
        </is>
      </c>
      <c r="D1445" t="inlineStr">
        <is>
          <t>성형</t>
        </is>
      </c>
      <c r="E1445" t="inlineStr">
        <is>
          <t>PR-02</t>
        </is>
      </c>
      <c r="F1445" t="n">
        <v>480</v>
      </c>
      <c r="G1445" t="n">
        <v>30</v>
      </c>
      <c r="H1445" t="inlineStr">
        <is>
          <t>압력 이상</t>
        </is>
      </c>
      <c r="I1445" t="n">
        <v>6</v>
      </c>
      <c r="J1445" t="n">
        <v>4092</v>
      </c>
      <c r="K1445" t="n">
        <v>4044</v>
      </c>
      <c r="L1445" t="inlineStr">
        <is>
          <t>L-0821</t>
        </is>
      </c>
      <c r="M1445">
        <f>F1445-G1445</f>
        <v/>
      </c>
      <c r="N1445" s="2">
        <f>M1445/F1445</f>
        <v/>
      </c>
      <c r="O1445" s="2">
        <f>I1445*J1445/60/M1445</f>
        <v/>
      </c>
      <c r="P1445" s="2">
        <f>K1445/J1445</f>
        <v/>
      </c>
      <c r="Q1445" s="2">
        <f>N1445*O1445*P1445</f>
        <v/>
      </c>
    </row>
    <row r="1446">
      <c r="A1446" t="inlineStr">
        <is>
          <t>2026-08-30</t>
        </is>
      </c>
      <c r="B1446" t="inlineStr">
        <is>
          <t>주간</t>
        </is>
      </c>
      <c r="C1446" t="inlineStr">
        <is>
          <t>P3</t>
        </is>
      </c>
      <c r="D1446" t="inlineStr">
        <is>
          <t>소결</t>
        </is>
      </c>
      <c r="E1446" t="inlineStr">
        <is>
          <t>SF-01</t>
        </is>
      </c>
      <c r="F1446" t="n">
        <v>480</v>
      </c>
      <c r="G1446" t="n">
        <v>23</v>
      </c>
      <c r="H1446" t="inlineStr">
        <is>
          <t>장입 대기</t>
        </is>
      </c>
      <c r="I1446" t="n">
        <v>6.5</v>
      </c>
      <c r="J1446" t="n">
        <v>4176</v>
      </c>
      <c r="K1446" t="n">
        <v>4046</v>
      </c>
      <c r="L1446" t="inlineStr">
        <is>
          <t>L-0821</t>
        </is>
      </c>
      <c r="M1446">
        <f>F1446-G1446</f>
        <v/>
      </c>
      <c r="N1446" s="2">
        <f>M1446/F1446</f>
        <v/>
      </c>
      <c r="O1446" s="2">
        <f>I1446*J1446/60/M1446</f>
        <v/>
      </c>
      <c r="P1446" s="2">
        <f>K1446/J1446</f>
        <v/>
      </c>
      <c r="Q1446" s="2">
        <f>N1446*O1446*P1446</f>
        <v/>
      </c>
    </row>
    <row r="1447">
      <c r="A1447" t="inlineStr">
        <is>
          <t>2026-08-30</t>
        </is>
      </c>
      <c r="B1447" t="inlineStr">
        <is>
          <t>주간</t>
        </is>
      </c>
      <c r="C1447" t="inlineStr">
        <is>
          <t>P3</t>
        </is>
      </c>
      <c r="D1447" t="inlineStr">
        <is>
          <t>소결</t>
        </is>
      </c>
      <c r="E1447" t="inlineStr">
        <is>
          <t>SF-02</t>
        </is>
      </c>
      <c r="F1447" t="n">
        <v>480</v>
      </c>
      <c r="G1447" t="n">
        <v>101</v>
      </c>
      <c r="H1447" t="inlineStr">
        <is>
          <t>재가열</t>
        </is>
      </c>
      <c r="I1447" t="n">
        <v>6.5</v>
      </c>
      <c r="J1447" t="n">
        <v>3148</v>
      </c>
      <c r="K1447" t="n">
        <v>2973</v>
      </c>
      <c r="L1447" t="inlineStr">
        <is>
          <t>L-0821</t>
        </is>
      </c>
      <c r="M1447">
        <f>F1447-G1447</f>
        <v/>
      </c>
      <c r="N1447" s="2">
        <f>M1447/F1447</f>
        <v/>
      </c>
      <c r="O1447" s="2">
        <f>I1447*J1447/60/M1447</f>
        <v/>
      </c>
      <c r="P1447" s="2">
        <f>K1447/J1447</f>
        <v/>
      </c>
      <c r="Q1447" s="2">
        <f>N1447*O1447*P1447</f>
        <v/>
      </c>
    </row>
    <row r="1448">
      <c r="A1448" t="inlineStr">
        <is>
          <t>2026-08-30</t>
        </is>
      </c>
      <c r="B1448" t="inlineStr">
        <is>
          <t>주간</t>
        </is>
      </c>
      <c r="C1448" t="inlineStr">
        <is>
          <t>P4</t>
        </is>
      </c>
      <c r="D1448" t="inlineStr">
        <is>
          <t>연삭</t>
        </is>
      </c>
      <c r="E1448" t="inlineStr">
        <is>
          <t>GR-01</t>
        </is>
      </c>
      <c r="F1448" t="n">
        <v>480</v>
      </c>
      <c r="G1448" t="n">
        <v>88</v>
      </c>
      <c r="H1448" t="inlineStr">
        <is>
          <t>드레싱</t>
        </is>
      </c>
      <c r="I1448" t="n">
        <v>6.2</v>
      </c>
      <c r="J1448" t="n">
        <v>3596</v>
      </c>
      <c r="K1448" t="n">
        <v>3559</v>
      </c>
      <c r="L1448" t="inlineStr">
        <is>
          <t>L-0821</t>
        </is>
      </c>
      <c r="M1448">
        <f>F1448-G1448</f>
        <v/>
      </c>
      <c r="N1448" s="2">
        <f>M1448/F1448</f>
        <v/>
      </c>
      <c r="O1448" s="2">
        <f>I1448*J1448/60/M1448</f>
        <v/>
      </c>
      <c r="P1448" s="2">
        <f>K1448/J1448</f>
        <v/>
      </c>
      <c r="Q1448" s="2">
        <f>N1448*O1448*P1448</f>
        <v/>
      </c>
    </row>
    <row r="1449">
      <c r="A1449" t="inlineStr">
        <is>
          <t>2026-08-30</t>
        </is>
      </c>
      <c r="B1449" t="inlineStr">
        <is>
          <t>주간</t>
        </is>
      </c>
      <c r="C1449" t="inlineStr">
        <is>
          <t>P4</t>
        </is>
      </c>
      <c r="D1449" t="inlineStr">
        <is>
          <t>연삭</t>
        </is>
      </c>
      <c r="E1449" t="inlineStr">
        <is>
          <t>GR-02</t>
        </is>
      </c>
      <c r="F1449" t="n">
        <v>480</v>
      </c>
      <c r="G1449" t="n">
        <v>86</v>
      </c>
      <c r="H1449" t="inlineStr">
        <is>
          <t>드레싱</t>
        </is>
      </c>
      <c r="I1449" t="n">
        <v>6.2</v>
      </c>
      <c r="J1449" t="n">
        <v>3439</v>
      </c>
      <c r="K1449" t="n">
        <v>3404</v>
      </c>
      <c r="L1449" t="inlineStr">
        <is>
          <t>L-0821</t>
        </is>
      </c>
      <c r="M1449">
        <f>F1449-G1449</f>
        <v/>
      </c>
      <c r="N1449" s="2">
        <f>M1449/F1449</f>
        <v/>
      </c>
      <c r="O1449" s="2">
        <f>I1449*J1449/60/M1449</f>
        <v/>
      </c>
      <c r="P1449" s="2">
        <f>K1449/J1449</f>
        <v/>
      </c>
      <c r="Q1449" s="2">
        <f>N1449*O1449*P1449</f>
        <v/>
      </c>
    </row>
    <row r="1450">
      <c r="A1450" t="inlineStr">
        <is>
          <t>2026-08-30</t>
        </is>
      </c>
      <c r="B1450" t="inlineStr">
        <is>
          <t>주간</t>
        </is>
      </c>
      <c r="C1450" t="inlineStr">
        <is>
          <t>P5</t>
        </is>
      </c>
      <c r="D1450" t="inlineStr">
        <is>
          <t>검사</t>
        </is>
      </c>
      <c r="E1450" t="inlineStr">
        <is>
          <t>IN-01</t>
        </is>
      </c>
      <c r="F1450" t="n">
        <v>480</v>
      </c>
      <c r="G1450" t="n">
        <v>27</v>
      </c>
      <c r="H1450" t="inlineStr">
        <is>
          <t>측정기 교정</t>
        </is>
      </c>
      <c r="I1450" t="n">
        <v>5.5</v>
      </c>
      <c r="J1450" t="n">
        <v>4663</v>
      </c>
      <c r="K1450" t="n">
        <v>4647</v>
      </c>
      <c r="L1450" t="inlineStr">
        <is>
          <t>L-0821</t>
        </is>
      </c>
      <c r="M1450">
        <f>F1450-G1450</f>
        <v/>
      </c>
      <c r="N1450" s="2">
        <f>M1450/F1450</f>
        <v/>
      </c>
      <c r="O1450" s="2">
        <f>I1450*J1450/60/M1450</f>
        <v/>
      </c>
      <c r="P1450" s="2">
        <f>K1450/J1450</f>
        <v/>
      </c>
      <c r="Q1450" s="2">
        <f>N1450*O1450*P1450</f>
        <v/>
      </c>
    </row>
    <row r="1451">
      <c r="A1451" t="inlineStr">
        <is>
          <t>2026-08-30</t>
        </is>
      </c>
      <c r="B1451" t="inlineStr">
        <is>
          <t>주간</t>
        </is>
      </c>
      <c r="C1451" t="inlineStr">
        <is>
          <t>P5</t>
        </is>
      </c>
      <c r="D1451" t="inlineStr">
        <is>
          <t>검사</t>
        </is>
      </c>
      <c r="E1451" t="inlineStr">
        <is>
          <t>IN-02</t>
        </is>
      </c>
      <c r="F1451" t="n">
        <v>480</v>
      </c>
      <c r="G1451" t="n">
        <v>25</v>
      </c>
      <c r="H1451" t="inlineStr">
        <is>
          <t>샘플 재검</t>
        </is>
      </c>
      <c r="I1451" t="n">
        <v>5.5</v>
      </c>
      <c r="J1451" t="n">
        <v>4733</v>
      </c>
      <c r="K1451" t="n">
        <v>4718</v>
      </c>
      <c r="L1451" t="inlineStr">
        <is>
          <t>L-0821</t>
        </is>
      </c>
      <c r="M1451">
        <f>F1451-G1451</f>
        <v/>
      </c>
      <c r="N1451" s="2">
        <f>M1451/F1451</f>
        <v/>
      </c>
      <c r="O1451" s="2">
        <f>I1451*J1451/60/M1451</f>
        <v/>
      </c>
      <c r="P1451" s="2">
        <f>K1451/J1451</f>
        <v/>
      </c>
      <c r="Q1451" s="2">
        <f>N1451*O1451*P1451</f>
        <v/>
      </c>
    </row>
    <row r="1452">
      <c r="A1452" t="inlineStr">
        <is>
          <t>2026-08-30</t>
        </is>
      </c>
      <c r="B1452" t="inlineStr">
        <is>
          <t>주간</t>
        </is>
      </c>
      <c r="C1452" t="inlineStr">
        <is>
          <t>P6</t>
        </is>
      </c>
      <c r="D1452" t="inlineStr">
        <is>
          <t>포장</t>
        </is>
      </c>
      <c r="E1452" t="inlineStr">
        <is>
          <t>PK-01</t>
        </is>
      </c>
      <c r="F1452" t="n">
        <v>480</v>
      </c>
      <c r="G1452" t="n">
        <v>12</v>
      </c>
      <c r="H1452" t="inlineStr">
        <is>
          <t>라벨 교체</t>
        </is>
      </c>
      <c r="I1452" t="n">
        <v>4.8</v>
      </c>
      <c r="J1452" t="n">
        <v>5442</v>
      </c>
      <c r="K1452" t="n">
        <v>5431</v>
      </c>
      <c r="L1452" t="inlineStr">
        <is>
          <t>L-0821</t>
        </is>
      </c>
      <c r="M1452">
        <f>F1452-G1452</f>
        <v/>
      </c>
      <c r="N1452" s="2">
        <f>M1452/F1452</f>
        <v/>
      </c>
      <c r="O1452" s="2">
        <f>I1452*J1452/60/M1452</f>
        <v/>
      </c>
      <c r="P1452" s="2">
        <f>K1452/J1452</f>
        <v/>
      </c>
      <c r="Q1452" s="2">
        <f>N1452*O1452*P1452</f>
        <v/>
      </c>
    </row>
    <row r="1453">
      <c r="A1453" t="inlineStr">
        <is>
          <t>2026-08-30</t>
        </is>
      </c>
      <c r="B1453" t="inlineStr">
        <is>
          <t>주간</t>
        </is>
      </c>
      <c r="C1453" t="inlineStr">
        <is>
          <t>P6</t>
        </is>
      </c>
      <c r="D1453" t="inlineStr">
        <is>
          <t>포장</t>
        </is>
      </c>
      <c r="E1453" t="inlineStr">
        <is>
          <t>PK-02</t>
        </is>
      </c>
      <c r="F1453" t="n">
        <v>480</v>
      </c>
      <c r="G1453" t="n">
        <v>17</v>
      </c>
      <c r="H1453" t="inlineStr">
        <is>
          <t>자재 대기</t>
        </is>
      </c>
      <c r="I1453" t="n">
        <v>4.8</v>
      </c>
      <c r="J1453" t="n">
        <v>5528</v>
      </c>
      <c r="K1453" t="n">
        <v>5520</v>
      </c>
      <c r="L1453" t="inlineStr">
        <is>
          <t>L-0821</t>
        </is>
      </c>
      <c r="M1453">
        <f>F1453-G1453</f>
        <v/>
      </c>
      <c r="N1453" s="2">
        <f>M1453/F1453</f>
        <v/>
      </c>
      <c r="O1453" s="2">
        <f>I1453*J1453/60/M1453</f>
        <v/>
      </c>
      <c r="P1453" s="2">
        <f>K1453/J1453</f>
        <v/>
      </c>
      <c r="Q1453" s="2">
        <f>N1453*O1453*P1453</f>
        <v/>
      </c>
    </row>
    <row r="1454">
      <c r="A1454" t="inlineStr">
        <is>
          <t>2026-08-30</t>
        </is>
      </c>
      <c r="B1454" t="inlineStr">
        <is>
          <t>야간</t>
        </is>
      </c>
      <c r="C1454" t="inlineStr">
        <is>
          <t>P1</t>
        </is>
      </c>
      <c r="D1454" t="inlineStr">
        <is>
          <t>원료혼합</t>
        </is>
      </c>
      <c r="E1454" t="inlineStr">
        <is>
          <t>MX-01</t>
        </is>
      </c>
      <c r="F1454" t="n">
        <v>480</v>
      </c>
      <c r="G1454" t="n">
        <v>13</v>
      </c>
      <c r="H1454" t="inlineStr">
        <is>
          <t>원료 대기</t>
        </is>
      </c>
      <c r="I1454" t="n">
        <v>5</v>
      </c>
      <c r="J1454" t="n">
        <v>5288</v>
      </c>
      <c r="K1454" t="n">
        <v>5251</v>
      </c>
      <c r="L1454" t="inlineStr">
        <is>
          <t>L-0821</t>
        </is>
      </c>
      <c r="M1454">
        <f>F1454-G1454</f>
        <v/>
      </c>
      <c r="N1454" s="2">
        <f>M1454/F1454</f>
        <v/>
      </c>
      <c r="O1454" s="2">
        <f>I1454*J1454/60/M1454</f>
        <v/>
      </c>
      <c r="P1454" s="2">
        <f>K1454/J1454</f>
        <v/>
      </c>
      <c r="Q1454" s="2">
        <f>N1454*O1454*P1454</f>
        <v/>
      </c>
    </row>
    <row r="1455">
      <c r="A1455" t="inlineStr">
        <is>
          <t>2026-08-30</t>
        </is>
      </c>
      <c r="B1455" t="inlineStr">
        <is>
          <t>야간</t>
        </is>
      </c>
      <c r="C1455" t="inlineStr">
        <is>
          <t>P1</t>
        </is>
      </c>
      <c r="D1455" t="inlineStr">
        <is>
          <t>원료혼합</t>
        </is>
      </c>
      <c r="E1455" t="inlineStr">
        <is>
          <t>MX-02</t>
        </is>
      </c>
      <c r="F1455" t="n">
        <v>480</v>
      </c>
      <c r="G1455" t="n">
        <v>8</v>
      </c>
      <c r="H1455" t="inlineStr">
        <is>
          <t>청소</t>
        </is>
      </c>
      <c r="I1455" t="n">
        <v>5</v>
      </c>
      <c r="J1455" t="n">
        <v>5142</v>
      </c>
      <c r="K1455" t="n">
        <v>5108</v>
      </c>
      <c r="L1455" t="inlineStr">
        <is>
          <t>L-0821</t>
        </is>
      </c>
      <c r="M1455">
        <f>F1455-G1455</f>
        <v/>
      </c>
      <c r="N1455" s="2">
        <f>M1455/F1455</f>
        <v/>
      </c>
      <c r="O1455" s="2">
        <f>I1455*J1455/60/M1455</f>
        <v/>
      </c>
      <c r="P1455" s="2">
        <f>K1455/J1455</f>
        <v/>
      </c>
      <c r="Q1455" s="2">
        <f>N1455*O1455*P1455</f>
        <v/>
      </c>
    </row>
    <row r="1456">
      <c r="A1456" t="inlineStr">
        <is>
          <t>2026-08-30</t>
        </is>
      </c>
      <c r="B1456" t="inlineStr">
        <is>
          <t>야간</t>
        </is>
      </c>
      <c r="C1456" t="inlineStr">
        <is>
          <t>P2</t>
        </is>
      </c>
      <c r="D1456" t="inlineStr">
        <is>
          <t>성형</t>
        </is>
      </c>
      <c r="E1456" t="inlineStr">
        <is>
          <t>PR-01</t>
        </is>
      </c>
      <c r="F1456" t="n">
        <v>480</v>
      </c>
      <c r="G1456" t="n">
        <v>23</v>
      </c>
      <c r="H1456" t="inlineStr">
        <is>
          <t>압력 이상</t>
        </is>
      </c>
      <c r="I1456" t="n">
        <v>6</v>
      </c>
      <c r="J1456" t="n">
        <v>4328</v>
      </c>
      <c r="K1456" t="n">
        <v>4282</v>
      </c>
      <c r="L1456" t="inlineStr">
        <is>
          <t>L-0821</t>
        </is>
      </c>
      <c r="M1456">
        <f>F1456-G1456</f>
        <v/>
      </c>
      <c r="N1456" s="2">
        <f>M1456/F1456</f>
        <v/>
      </c>
      <c r="O1456" s="2">
        <f>I1456*J1456/60/M1456</f>
        <v/>
      </c>
      <c r="P1456" s="2">
        <f>K1456/J1456</f>
        <v/>
      </c>
      <c r="Q1456" s="2">
        <f>N1456*O1456*P1456</f>
        <v/>
      </c>
    </row>
    <row r="1457">
      <c r="A1457" t="inlineStr">
        <is>
          <t>2026-08-30</t>
        </is>
      </c>
      <c r="B1457" t="inlineStr">
        <is>
          <t>야간</t>
        </is>
      </c>
      <c r="C1457" t="inlineStr">
        <is>
          <t>P2</t>
        </is>
      </c>
      <c r="D1457" t="inlineStr">
        <is>
          <t>성형</t>
        </is>
      </c>
      <c r="E1457" t="inlineStr">
        <is>
          <t>PR-02</t>
        </is>
      </c>
      <c r="F1457" t="n">
        <v>480</v>
      </c>
      <c r="G1457" t="n">
        <v>22</v>
      </c>
      <c r="H1457" t="inlineStr">
        <is>
          <t>분말 공급 지연</t>
        </is>
      </c>
      <c r="I1457" t="n">
        <v>6</v>
      </c>
      <c r="J1457" t="n">
        <v>4315</v>
      </c>
      <c r="K1457" t="n">
        <v>4266</v>
      </c>
      <c r="L1457" t="inlineStr">
        <is>
          <t>L-0821</t>
        </is>
      </c>
      <c r="M1457">
        <f>F1457-G1457</f>
        <v/>
      </c>
      <c r="N1457" s="2">
        <f>M1457/F1457</f>
        <v/>
      </c>
      <c r="O1457" s="2">
        <f>I1457*J1457/60/M1457</f>
        <v/>
      </c>
      <c r="P1457" s="2">
        <f>K1457/J1457</f>
        <v/>
      </c>
      <c r="Q1457" s="2">
        <f>N1457*O1457*P1457</f>
        <v/>
      </c>
    </row>
    <row r="1458">
      <c r="A1458" t="inlineStr">
        <is>
          <t>2026-08-30</t>
        </is>
      </c>
      <c r="B1458" t="inlineStr">
        <is>
          <t>야간</t>
        </is>
      </c>
      <c r="C1458" t="inlineStr">
        <is>
          <t>P3</t>
        </is>
      </c>
      <c r="D1458" t="inlineStr">
        <is>
          <t>소결</t>
        </is>
      </c>
      <c r="E1458" t="inlineStr">
        <is>
          <t>SF-01</t>
        </is>
      </c>
      <c r="F1458" t="n">
        <v>480</v>
      </c>
      <c r="G1458" t="n">
        <v>33</v>
      </c>
      <c r="H1458" t="inlineStr">
        <is>
          <t>재가열</t>
        </is>
      </c>
      <c r="I1458" t="n">
        <v>6.5</v>
      </c>
      <c r="J1458" t="n">
        <v>3880</v>
      </c>
      <c r="K1458" t="n">
        <v>3804</v>
      </c>
      <c r="L1458" t="inlineStr">
        <is>
          <t>L-0821</t>
        </is>
      </c>
      <c r="M1458">
        <f>F1458-G1458</f>
        <v/>
      </c>
      <c r="N1458" s="2">
        <f>M1458/F1458</f>
        <v/>
      </c>
      <c r="O1458" s="2">
        <f>I1458*J1458/60/M1458</f>
        <v/>
      </c>
      <c r="P1458" s="2">
        <f>K1458/J1458</f>
        <v/>
      </c>
      <c r="Q1458" s="2">
        <f>N1458*O1458*P1458</f>
        <v/>
      </c>
    </row>
    <row r="1459">
      <c r="A1459" t="inlineStr">
        <is>
          <t>2026-08-30</t>
        </is>
      </c>
      <c r="B1459" t="inlineStr">
        <is>
          <t>야간</t>
        </is>
      </c>
      <c r="C1459" t="inlineStr">
        <is>
          <t>P3</t>
        </is>
      </c>
      <c r="D1459" t="inlineStr">
        <is>
          <t>소결</t>
        </is>
      </c>
      <c r="E1459" t="inlineStr">
        <is>
          <t>SF-02</t>
        </is>
      </c>
      <c r="F1459" t="n">
        <v>480</v>
      </c>
      <c r="G1459" t="n">
        <v>60</v>
      </c>
      <c r="H1459" t="inlineStr">
        <is>
          <t>재가열</t>
        </is>
      </c>
      <c r="I1459" t="n">
        <v>6.5</v>
      </c>
      <c r="J1459" t="n">
        <v>3255</v>
      </c>
      <c r="K1459" t="n">
        <v>3056</v>
      </c>
      <c r="L1459" t="inlineStr">
        <is>
          <t>L-0821</t>
        </is>
      </c>
      <c r="M1459">
        <f>F1459-G1459</f>
        <v/>
      </c>
      <c r="N1459" s="2">
        <f>M1459/F1459</f>
        <v/>
      </c>
      <c r="O1459" s="2">
        <f>I1459*J1459/60/M1459</f>
        <v/>
      </c>
      <c r="P1459" s="2">
        <f>K1459/J1459</f>
        <v/>
      </c>
      <c r="Q1459" s="2">
        <f>N1459*O1459*P1459</f>
        <v/>
      </c>
    </row>
    <row r="1460">
      <c r="A1460" t="inlineStr">
        <is>
          <t>2026-08-30</t>
        </is>
      </c>
      <c r="B1460" t="inlineStr">
        <is>
          <t>야간</t>
        </is>
      </c>
      <c r="C1460" t="inlineStr">
        <is>
          <t>P4</t>
        </is>
      </c>
      <c r="D1460" t="inlineStr">
        <is>
          <t>연삭</t>
        </is>
      </c>
      <c r="E1460" t="inlineStr">
        <is>
          <t>GR-01</t>
        </is>
      </c>
      <c r="F1460" t="n">
        <v>480</v>
      </c>
      <c r="G1460" t="n">
        <v>109</v>
      </c>
      <c r="H1460" t="inlineStr">
        <is>
          <t>공구 교체</t>
        </is>
      </c>
      <c r="I1460" t="n">
        <v>6.2</v>
      </c>
      <c r="J1460" t="n">
        <v>3427</v>
      </c>
      <c r="K1460" t="n">
        <v>3385</v>
      </c>
      <c r="L1460" t="inlineStr">
        <is>
          <t>L-0821</t>
        </is>
      </c>
      <c r="M1460">
        <f>F1460-G1460</f>
        <v/>
      </c>
      <c r="N1460" s="2">
        <f>M1460/F1460</f>
        <v/>
      </c>
      <c r="O1460" s="2">
        <f>I1460*J1460/60/M1460</f>
        <v/>
      </c>
      <c r="P1460" s="2">
        <f>K1460/J1460</f>
        <v/>
      </c>
      <c r="Q1460" s="2">
        <f>N1460*O1460*P1460</f>
        <v/>
      </c>
    </row>
    <row r="1461">
      <c r="A1461" t="inlineStr">
        <is>
          <t>2026-08-30</t>
        </is>
      </c>
      <c r="B1461" t="inlineStr">
        <is>
          <t>야간</t>
        </is>
      </c>
      <c r="C1461" t="inlineStr">
        <is>
          <t>P4</t>
        </is>
      </c>
      <c r="D1461" t="inlineStr">
        <is>
          <t>연삭</t>
        </is>
      </c>
      <c r="E1461" t="inlineStr">
        <is>
          <t>GR-02</t>
        </is>
      </c>
      <c r="F1461" t="n">
        <v>480</v>
      </c>
      <c r="G1461" t="n">
        <v>50</v>
      </c>
      <c r="H1461" t="inlineStr">
        <is>
          <t>드레싱</t>
        </is>
      </c>
      <c r="I1461" t="n">
        <v>6.2</v>
      </c>
      <c r="J1461" t="n">
        <v>3987</v>
      </c>
      <c r="K1461" t="n">
        <v>3950</v>
      </c>
      <c r="L1461" t="inlineStr">
        <is>
          <t>L-0821</t>
        </is>
      </c>
      <c r="M1461">
        <f>F1461-G1461</f>
        <v/>
      </c>
      <c r="N1461" s="2">
        <f>M1461/F1461</f>
        <v/>
      </c>
      <c r="O1461" s="2">
        <f>I1461*J1461/60/M1461</f>
        <v/>
      </c>
      <c r="P1461" s="2">
        <f>K1461/J1461</f>
        <v/>
      </c>
      <c r="Q1461" s="2">
        <f>N1461*O1461*P1461</f>
        <v/>
      </c>
    </row>
    <row r="1462">
      <c r="A1462" t="inlineStr">
        <is>
          <t>2026-08-30</t>
        </is>
      </c>
      <c r="B1462" t="inlineStr">
        <is>
          <t>야간</t>
        </is>
      </c>
      <c r="C1462" t="inlineStr">
        <is>
          <t>P5</t>
        </is>
      </c>
      <c r="D1462" t="inlineStr">
        <is>
          <t>검사</t>
        </is>
      </c>
      <c r="E1462" t="inlineStr">
        <is>
          <t>IN-01</t>
        </is>
      </c>
      <c r="F1462" t="n">
        <v>480</v>
      </c>
      <c r="G1462" t="n">
        <v>65</v>
      </c>
      <c r="H1462" t="inlineStr">
        <is>
          <t>샘플 재검</t>
        </is>
      </c>
      <c r="I1462" t="n">
        <v>5.5</v>
      </c>
      <c r="J1462" t="n">
        <v>4189</v>
      </c>
      <c r="K1462" t="n">
        <v>4172</v>
      </c>
      <c r="L1462" t="inlineStr">
        <is>
          <t>L-0821</t>
        </is>
      </c>
      <c r="M1462">
        <f>F1462-G1462</f>
        <v/>
      </c>
      <c r="N1462" s="2">
        <f>M1462/F1462</f>
        <v/>
      </c>
      <c r="O1462" s="2">
        <f>I1462*J1462/60/M1462</f>
        <v/>
      </c>
      <c r="P1462" s="2">
        <f>K1462/J1462</f>
        <v/>
      </c>
      <c r="Q1462" s="2">
        <f>N1462*O1462*P1462</f>
        <v/>
      </c>
    </row>
    <row r="1463">
      <c r="A1463" t="inlineStr">
        <is>
          <t>2026-08-30</t>
        </is>
      </c>
      <c r="B1463" t="inlineStr">
        <is>
          <t>야간</t>
        </is>
      </c>
      <c r="C1463" t="inlineStr">
        <is>
          <t>P5</t>
        </is>
      </c>
      <c r="D1463" t="inlineStr">
        <is>
          <t>검사</t>
        </is>
      </c>
      <c r="E1463" t="inlineStr">
        <is>
          <t>IN-02</t>
        </is>
      </c>
      <c r="F1463" t="n">
        <v>480</v>
      </c>
      <c r="G1463" t="n">
        <v>38</v>
      </c>
      <c r="H1463" t="inlineStr">
        <is>
          <t>측정기 교정</t>
        </is>
      </c>
      <c r="I1463" t="n">
        <v>5.5</v>
      </c>
      <c r="J1463" t="n">
        <v>4441</v>
      </c>
      <c r="K1463" t="n">
        <v>4424</v>
      </c>
      <c r="L1463" t="inlineStr">
        <is>
          <t>L-0821</t>
        </is>
      </c>
      <c r="M1463">
        <f>F1463-G1463</f>
        <v/>
      </c>
      <c r="N1463" s="2">
        <f>M1463/F1463</f>
        <v/>
      </c>
      <c r="O1463" s="2">
        <f>I1463*J1463/60/M1463</f>
        <v/>
      </c>
      <c r="P1463" s="2">
        <f>K1463/J1463</f>
        <v/>
      </c>
      <c r="Q1463" s="2">
        <f>N1463*O1463*P1463</f>
        <v/>
      </c>
    </row>
    <row r="1464">
      <c r="A1464" t="inlineStr">
        <is>
          <t>2026-08-30</t>
        </is>
      </c>
      <c r="B1464" t="inlineStr">
        <is>
          <t>야간</t>
        </is>
      </c>
      <c r="C1464" t="inlineStr">
        <is>
          <t>P6</t>
        </is>
      </c>
      <c r="D1464" t="inlineStr">
        <is>
          <t>포장</t>
        </is>
      </c>
      <c r="E1464" t="inlineStr">
        <is>
          <t>PK-01</t>
        </is>
      </c>
      <c r="F1464" t="n">
        <v>480</v>
      </c>
      <c r="G1464" t="n">
        <v>8</v>
      </c>
      <c r="H1464" t="inlineStr">
        <is>
          <t>라벨 교체</t>
        </is>
      </c>
      <c r="I1464" t="n">
        <v>4.8</v>
      </c>
      <c r="J1464" t="n">
        <v>5299</v>
      </c>
      <c r="K1464" t="n">
        <v>5285</v>
      </c>
      <c r="L1464" t="inlineStr">
        <is>
          <t>L-0821</t>
        </is>
      </c>
      <c r="M1464">
        <f>F1464-G1464</f>
        <v/>
      </c>
      <c r="N1464" s="2">
        <f>M1464/F1464</f>
        <v/>
      </c>
      <c r="O1464" s="2">
        <f>I1464*J1464/60/M1464</f>
        <v/>
      </c>
      <c r="P1464" s="2">
        <f>K1464/J1464</f>
        <v/>
      </c>
      <c r="Q1464" s="2">
        <f>N1464*O1464*P1464</f>
        <v/>
      </c>
    </row>
    <row r="1465">
      <c r="A1465" t="inlineStr">
        <is>
          <t>2026-08-30</t>
        </is>
      </c>
      <c r="B1465" t="inlineStr">
        <is>
          <t>야간</t>
        </is>
      </c>
      <c r="C1465" t="inlineStr">
        <is>
          <t>P6</t>
        </is>
      </c>
      <c r="D1465" t="inlineStr">
        <is>
          <t>포장</t>
        </is>
      </c>
      <c r="E1465" t="inlineStr">
        <is>
          <t>PK-02</t>
        </is>
      </c>
      <c r="F1465" t="n">
        <v>480</v>
      </c>
      <c r="G1465" t="n">
        <v>4</v>
      </c>
      <c r="H1465" t="inlineStr">
        <is>
          <t>라벨 교체</t>
        </is>
      </c>
      <c r="I1465" t="n">
        <v>4.8</v>
      </c>
      <c r="J1465" t="n">
        <v>5470</v>
      </c>
      <c r="K1465" t="n">
        <v>5454</v>
      </c>
      <c r="L1465" t="inlineStr">
        <is>
          <t>L-0821</t>
        </is>
      </c>
      <c r="M1465">
        <f>F1465-G1465</f>
        <v/>
      </c>
      <c r="N1465" s="2">
        <f>M1465/F1465</f>
        <v/>
      </c>
      <c r="O1465" s="2">
        <f>I1465*J1465/60/M1465</f>
        <v/>
      </c>
      <c r="P1465" s="2">
        <f>K1465/J1465</f>
        <v/>
      </c>
      <c r="Q1465" s="2">
        <f>N1465*O1465*P1465</f>
        <v/>
      </c>
    </row>
    <row r="1466">
      <c r="A1466" t="inlineStr">
        <is>
          <t>2026-08-31</t>
        </is>
      </c>
      <c r="B1466" t="inlineStr">
        <is>
          <t>주간</t>
        </is>
      </c>
      <c r="C1466" t="inlineStr">
        <is>
          <t>P1</t>
        </is>
      </c>
      <c r="D1466" t="inlineStr">
        <is>
          <t>원료혼합</t>
        </is>
      </c>
      <c r="E1466" t="inlineStr">
        <is>
          <t>MX-01</t>
        </is>
      </c>
      <c r="F1466" t="n">
        <v>480</v>
      </c>
      <c r="G1466" t="n">
        <v>4</v>
      </c>
      <c r="H1466" t="inlineStr">
        <is>
          <t>청소</t>
        </is>
      </c>
      <c r="I1466" t="n">
        <v>5</v>
      </c>
      <c r="J1466" t="n">
        <v>5487</v>
      </c>
      <c r="K1466" t="n">
        <v>5452</v>
      </c>
      <c r="L1466" t="inlineStr">
        <is>
          <t>L-0821</t>
        </is>
      </c>
      <c r="M1466">
        <f>F1466-G1466</f>
        <v/>
      </c>
      <c r="N1466" s="2">
        <f>M1466/F1466</f>
        <v/>
      </c>
      <c r="O1466" s="2">
        <f>I1466*J1466/60/M1466</f>
        <v/>
      </c>
      <c r="P1466" s="2">
        <f>K1466/J1466</f>
        <v/>
      </c>
      <c r="Q1466" s="2">
        <f>N1466*O1466*P1466</f>
        <v/>
      </c>
    </row>
    <row r="1467">
      <c r="A1467" t="inlineStr">
        <is>
          <t>2026-08-31</t>
        </is>
      </c>
      <c r="B1467" t="inlineStr">
        <is>
          <t>주간</t>
        </is>
      </c>
      <c r="C1467" t="inlineStr">
        <is>
          <t>P1</t>
        </is>
      </c>
      <c r="D1467" t="inlineStr">
        <is>
          <t>원료혼합</t>
        </is>
      </c>
      <c r="E1467" t="inlineStr">
        <is>
          <t>MX-02</t>
        </is>
      </c>
      <c r="F1467" t="n">
        <v>480</v>
      </c>
      <c r="G1467" t="n">
        <v>20</v>
      </c>
      <c r="H1467" t="inlineStr">
        <is>
          <t>배합 확인</t>
        </is>
      </c>
      <c r="I1467" t="n">
        <v>5</v>
      </c>
      <c r="J1467" t="n">
        <v>5398</v>
      </c>
      <c r="K1467" t="n">
        <v>5366</v>
      </c>
      <c r="L1467" t="inlineStr">
        <is>
          <t>L-0821</t>
        </is>
      </c>
      <c r="M1467">
        <f>F1467-G1467</f>
        <v/>
      </c>
      <c r="N1467" s="2">
        <f>M1467/F1467</f>
        <v/>
      </c>
      <c r="O1467" s="2">
        <f>I1467*J1467/60/M1467</f>
        <v/>
      </c>
      <c r="P1467" s="2">
        <f>K1467/J1467</f>
        <v/>
      </c>
      <c r="Q1467" s="2">
        <f>N1467*O1467*P1467</f>
        <v/>
      </c>
    </row>
    <row r="1468">
      <c r="A1468" t="inlineStr">
        <is>
          <t>2026-08-31</t>
        </is>
      </c>
      <c r="B1468" t="inlineStr">
        <is>
          <t>주간</t>
        </is>
      </c>
      <c r="C1468" t="inlineStr">
        <is>
          <t>P2</t>
        </is>
      </c>
      <c r="D1468" t="inlineStr">
        <is>
          <t>성형</t>
        </is>
      </c>
      <c r="E1468" t="inlineStr">
        <is>
          <t>PR-01</t>
        </is>
      </c>
      <c r="F1468" t="n">
        <v>480</v>
      </c>
      <c r="G1468" t="n">
        <v>18</v>
      </c>
      <c r="H1468" t="inlineStr">
        <is>
          <t>금형 교체</t>
        </is>
      </c>
      <c r="I1468" t="n">
        <v>6</v>
      </c>
      <c r="J1468" t="n">
        <v>4257</v>
      </c>
      <c r="K1468" t="n">
        <v>4219</v>
      </c>
      <c r="L1468" t="inlineStr">
        <is>
          <t>L-0821</t>
        </is>
      </c>
      <c r="M1468">
        <f>F1468-G1468</f>
        <v/>
      </c>
      <c r="N1468" s="2">
        <f>M1468/F1468</f>
        <v/>
      </c>
      <c r="O1468" s="2">
        <f>I1468*J1468/60/M1468</f>
        <v/>
      </c>
      <c r="P1468" s="2">
        <f>K1468/J1468</f>
        <v/>
      </c>
      <c r="Q1468" s="2">
        <f>N1468*O1468*P1468</f>
        <v/>
      </c>
    </row>
    <row r="1469">
      <c r="A1469" t="inlineStr">
        <is>
          <t>2026-08-31</t>
        </is>
      </c>
      <c r="B1469" t="inlineStr">
        <is>
          <t>주간</t>
        </is>
      </c>
      <c r="C1469" t="inlineStr">
        <is>
          <t>P2</t>
        </is>
      </c>
      <c r="D1469" t="inlineStr">
        <is>
          <t>성형</t>
        </is>
      </c>
      <c r="E1469" t="inlineStr">
        <is>
          <t>PR-02</t>
        </is>
      </c>
      <c r="F1469" t="n">
        <v>480</v>
      </c>
      <c r="G1469" t="n">
        <v>3</v>
      </c>
      <c r="H1469" t="inlineStr">
        <is>
          <t>분말 공급 지연</t>
        </is>
      </c>
      <c r="I1469" t="n">
        <v>6</v>
      </c>
      <c r="J1469" t="n">
        <v>4396</v>
      </c>
      <c r="K1469" t="n">
        <v>4357</v>
      </c>
      <c r="L1469" t="inlineStr">
        <is>
          <t>L-0821</t>
        </is>
      </c>
      <c r="M1469">
        <f>F1469-G1469</f>
        <v/>
      </c>
      <c r="N1469" s="2">
        <f>M1469/F1469</f>
        <v/>
      </c>
      <c r="O1469" s="2">
        <f>I1469*J1469/60/M1469</f>
        <v/>
      </c>
      <c r="P1469" s="2">
        <f>K1469/J1469</f>
        <v/>
      </c>
      <c r="Q1469" s="2">
        <f>N1469*O1469*P1469</f>
        <v/>
      </c>
    </row>
    <row r="1470">
      <c r="A1470" t="inlineStr">
        <is>
          <t>2026-08-31</t>
        </is>
      </c>
      <c r="B1470" t="inlineStr">
        <is>
          <t>주간</t>
        </is>
      </c>
      <c r="C1470" t="inlineStr">
        <is>
          <t>P3</t>
        </is>
      </c>
      <c r="D1470" t="inlineStr">
        <is>
          <t>소결</t>
        </is>
      </c>
      <c r="E1470" t="inlineStr">
        <is>
          <t>SF-01</t>
        </is>
      </c>
      <c r="F1470" t="n">
        <v>480</v>
      </c>
      <c r="G1470" t="n">
        <v>42</v>
      </c>
      <c r="H1470" t="inlineStr">
        <is>
          <t>재가열</t>
        </is>
      </c>
      <c r="I1470" t="n">
        <v>6.5</v>
      </c>
      <c r="J1470" t="n">
        <v>3681</v>
      </c>
      <c r="K1470" t="n">
        <v>3613</v>
      </c>
      <c r="L1470" t="inlineStr">
        <is>
          <t>L-0821</t>
        </is>
      </c>
      <c r="M1470">
        <f>F1470-G1470</f>
        <v/>
      </c>
      <c r="N1470" s="2">
        <f>M1470/F1470</f>
        <v/>
      </c>
      <c r="O1470" s="2">
        <f>I1470*J1470/60/M1470</f>
        <v/>
      </c>
      <c r="P1470" s="2">
        <f>K1470/J1470</f>
        <v/>
      </c>
      <c r="Q1470" s="2">
        <f>N1470*O1470*P1470</f>
        <v/>
      </c>
    </row>
    <row r="1471">
      <c r="A1471" t="inlineStr">
        <is>
          <t>2026-08-31</t>
        </is>
      </c>
      <c r="B1471" t="inlineStr">
        <is>
          <t>주간</t>
        </is>
      </c>
      <c r="C1471" t="inlineStr">
        <is>
          <t>P3</t>
        </is>
      </c>
      <c r="D1471" t="inlineStr">
        <is>
          <t>소결</t>
        </is>
      </c>
      <c r="E1471" t="inlineStr">
        <is>
          <t>SF-02</t>
        </is>
      </c>
      <c r="F1471" t="n">
        <v>480</v>
      </c>
      <c r="G1471" t="n">
        <v>149</v>
      </c>
      <c r="H1471" t="inlineStr">
        <is>
          <t>재가열</t>
        </is>
      </c>
      <c r="I1471" t="n">
        <v>6.5</v>
      </c>
      <c r="J1471" t="n">
        <v>2755</v>
      </c>
      <c r="K1471" t="n">
        <v>2554</v>
      </c>
      <c r="L1471" t="inlineStr">
        <is>
          <t>L-0821</t>
        </is>
      </c>
      <c r="M1471">
        <f>F1471-G1471</f>
        <v/>
      </c>
      <c r="N1471" s="2">
        <f>M1471/F1471</f>
        <v/>
      </c>
      <c r="O1471" s="2">
        <f>I1471*J1471/60/M1471</f>
        <v/>
      </c>
      <c r="P1471" s="2">
        <f>K1471/J1471</f>
        <v/>
      </c>
      <c r="Q1471" s="2">
        <f>N1471*O1471*P1471</f>
        <v/>
      </c>
    </row>
    <row r="1472">
      <c r="A1472" t="inlineStr">
        <is>
          <t>2026-08-31</t>
        </is>
      </c>
      <c r="B1472" t="inlineStr">
        <is>
          <t>주간</t>
        </is>
      </c>
      <c r="C1472" t="inlineStr">
        <is>
          <t>P4</t>
        </is>
      </c>
      <c r="D1472" t="inlineStr">
        <is>
          <t>연삭</t>
        </is>
      </c>
      <c r="E1472" t="inlineStr">
        <is>
          <t>GR-01</t>
        </is>
      </c>
      <c r="F1472" t="n">
        <v>480</v>
      </c>
      <c r="G1472" t="n">
        <v>82</v>
      </c>
      <c r="H1472" t="inlineStr">
        <is>
          <t>드레싱</t>
        </is>
      </c>
      <c r="I1472" t="n">
        <v>6.2</v>
      </c>
      <c r="J1472" t="n">
        <v>3755</v>
      </c>
      <c r="K1472" t="n">
        <v>3715</v>
      </c>
      <c r="L1472" t="inlineStr">
        <is>
          <t>L-0821</t>
        </is>
      </c>
      <c r="M1472">
        <f>F1472-G1472</f>
        <v/>
      </c>
      <c r="N1472" s="2">
        <f>M1472/F1472</f>
        <v/>
      </c>
      <c r="O1472" s="2">
        <f>I1472*J1472/60/M1472</f>
        <v/>
      </c>
      <c r="P1472" s="2">
        <f>K1472/J1472</f>
        <v/>
      </c>
      <c r="Q1472" s="2">
        <f>N1472*O1472*P1472</f>
        <v/>
      </c>
    </row>
    <row r="1473">
      <c r="A1473" t="inlineStr">
        <is>
          <t>2026-08-31</t>
        </is>
      </c>
      <c r="B1473" t="inlineStr">
        <is>
          <t>주간</t>
        </is>
      </c>
      <c r="C1473" t="inlineStr">
        <is>
          <t>P4</t>
        </is>
      </c>
      <c r="D1473" t="inlineStr">
        <is>
          <t>연삭</t>
        </is>
      </c>
      <c r="E1473" t="inlineStr">
        <is>
          <t>GR-02</t>
        </is>
      </c>
      <c r="F1473" t="n">
        <v>480</v>
      </c>
      <c r="G1473" t="n">
        <v>42</v>
      </c>
      <c r="H1473" t="inlineStr">
        <is>
          <t>공구 교체</t>
        </is>
      </c>
      <c r="I1473" t="n">
        <v>6.2</v>
      </c>
      <c r="J1473" t="n">
        <v>4060</v>
      </c>
      <c r="K1473" t="n">
        <v>4023</v>
      </c>
      <c r="L1473" t="inlineStr">
        <is>
          <t>L-0821</t>
        </is>
      </c>
      <c r="M1473">
        <f>F1473-G1473</f>
        <v/>
      </c>
      <c r="N1473" s="2">
        <f>M1473/F1473</f>
        <v/>
      </c>
      <c r="O1473" s="2">
        <f>I1473*J1473/60/M1473</f>
        <v/>
      </c>
      <c r="P1473" s="2">
        <f>K1473/J1473</f>
        <v/>
      </c>
      <c r="Q1473" s="2">
        <f>N1473*O1473*P1473</f>
        <v/>
      </c>
    </row>
    <row r="1474">
      <c r="A1474" t="inlineStr">
        <is>
          <t>2026-08-31</t>
        </is>
      </c>
      <c r="B1474" t="inlineStr">
        <is>
          <t>주간</t>
        </is>
      </c>
      <c r="C1474" t="inlineStr">
        <is>
          <t>P5</t>
        </is>
      </c>
      <c r="D1474" t="inlineStr">
        <is>
          <t>검사</t>
        </is>
      </c>
      <c r="E1474" t="inlineStr">
        <is>
          <t>IN-01</t>
        </is>
      </c>
      <c r="F1474" t="n">
        <v>480</v>
      </c>
      <c r="G1474" t="n">
        <v>34</v>
      </c>
      <c r="H1474" t="inlineStr">
        <is>
          <t>측정기 교정</t>
        </is>
      </c>
      <c r="I1474" t="n">
        <v>5.5</v>
      </c>
      <c r="J1474" t="n">
        <v>4357</v>
      </c>
      <c r="K1474" t="n">
        <v>4342</v>
      </c>
      <c r="L1474" t="inlineStr">
        <is>
          <t>L-0821</t>
        </is>
      </c>
      <c r="M1474">
        <f>F1474-G1474</f>
        <v/>
      </c>
      <c r="N1474" s="2">
        <f>M1474/F1474</f>
        <v/>
      </c>
      <c r="O1474" s="2">
        <f>I1474*J1474/60/M1474</f>
        <v/>
      </c>
      <c r="P1474" s="2">
        <f>K1474/J1474</f>
        <v/>
      </c>
      <c r="Q1474" s="2">
        <f>N1474*O1474*P1474</f>
        <v/>
      </c>
    </row>
    <row r="1475">
      <c r="A1475" t="inlineStr">
        <is>
          <t>2026-08-31</t>
        </is>
      </c>
      <c r="B1475" t="inlineStr">
        <is>
          <t>주간</t>
        </is>
      </c>
      <c r="C1475" t="inlineStr">
        <is>
          <t>P5</t>
        </is>
      </c>
      <c r="D1475" t="inlineStr">
        <is>
          <t>검사</t>
        </is>
      </c>
      <c r="E1475" t="inlineStr">
        <is>
          <t>IN-02</t>
        </is>
      </c>
      <c r="F1475" t="n">
        <v>480</v>
      </c>
      <c r="G1475" t="n">
        <v>6</v>
      </c>
      <c r="H1475" t="inlineStr">
        <is>
          <t>샘플 재검</t>
        </is>
      </c>
      <c r="I1475" t="n">
        <v>5.5</v>
      </c>
      <c r="J1475" t="n">
        <v>4915</v>
      </c>
      <c r="K1475" t="n">
        <v>4899</v>
      </c>
      <c r="L1475" t="inlineStr">
        <is>
          <t>L-0821</t>
        </is>
      </c>
      <c r="M1475">
        <f>F1475-G1475</f>
        <v/>
      </c>
      <c r="N1475" s="2">
        <f>M1475/F1475</f>
        <v/>
      </c>
      <c r="O1475" s="2">
        <f>I1475*J1475/60/M1475</f>
        <v/>
      </c>
      <c r="P1475" s="2">
        <f>K1475/J1475</f>
        <v/>
      </c>
      <c r="Q1475" s="2">
        <f>N1475*O1475*P1475</f>
        <v/>
      </c>
    </row>
    <row r="1476">
      <c r="A1476" t="inlineStr">
        <is>
          <t>2026-08-31</t>
        </is>
      </c>
      <c r="B1476" t="inlineStr">
        <is>
          <t>주간</t>
        </is>
      </c>
      <c r="C1476" t="inlineStr">
        <is>
          <t>P6</t>
        </is>
      </c>
      <c r="D1476" t="inlineStr">
        <is>
          <t>포장</t>
        </is>
      </c>
      <c r="E1476" t="inlineStr">
        <is>
          <t>PK-01</t>
        </is>
      </c>
      <c r="F1476" t="n">
        <v>480</v>
      </c>
      <c r="G1476" t="n">
        <v>18</v>
      </c>
      <c r="H1476" t="inlineStr">
        <is>
          <t>자재 대기</t>
        </is>
      </c>
      <c r="I1476" t="n">
        <v>4.8</v>
      </c>
      <c r="J1476" t="n">
        <v>5388</v>
      </c>
      <c r="K1476" t="n">
        <v>5377</v>
      </c>
      <c r="L1476" t="inlineStr">
        <is>
          <t>L-0821</t>
        </is>
      </c>
      <c r="M1476">
        <f>F1476-G1476</f>
        <v/>
      </c>
      <c r="N1476" s="2">
        <f>M1476/F1476</f>
        <v/>
      </c>
      <c r="O1476" s="2">
        <f>I1476*J1476/60/M1476</f>
        <v/>
      </c>
      <c r="P1476" s="2">
        <f>K1476/J1476</f>
        <v/>
      </c>
      <c r="Q1476" s="2">
        <f>N1476*O1476*P1476</f>
        <v/>
      </c>
    </row>
    <row r="1477">
      <c r="A1477" t="inlineStr">
        <is>
          <t>2026-08-31</t>
        </is>
      </c>
      <c r="B1477" t="inlineStr">
        <is>
          <t>주간</t>
        </is>
      </c>
      <c r="C1477" t="inlineStr">
        <is>
          <t>P6</t>
        </is>
      </c>
      <c r="D1477" t="inlineStr">
        <is>
          <t>포장</t>
        </is>
      </c>
      <c r="E1477" t="inlineStr">
        <is>
          <t>PK-02</t>
        </is>
      </c>
      <c r="F1477" t="n">
        <v>480</v>
      </c>
      <c r="G1477" t="n">
        <v>40</v>
      </c>
      <c r="H1477" t="inlineStr">
        <is>
          <t>자재 대기</t>
        </is>
      </c>
      <c r="I1477" t="n">
        <v>4.8</v>
      </c>
      <c r="J1477" t="n">
        <v>4898</v>
      </c>
      <c r="K1477" t="n">
        <v>4887</v>
      </c>
      <c r="L1477" t="inlineStr">
        <is>
          <t>L-0821</t>
        </is>
      </c>
      <c r="M1477">
        <f>F1477-G1477</f>
        <v/>
      </c>
      <c r="N1477" s="2">
        <f>M1477/F1477</f>
        <v/>
      </c>
      <c r="O1477" s="2">
        <f>I1477*J1477/60/M1477</f>
        <v/>
      </c>
      <c r="P1477" s="2">
        <f>K1477/J1477</f>
        <v/>
      </c>
      <c r="Q1477" s="2">
        <f>N1477*O1477*P1477</f>
        <v/>
      </c>
    </row>
    <row r="1478">
      <c r="A1478" t="inlineStr">
        <is>
          <t>2026-08-31</t>
        </is>
      </c>
      <c r="B1478" t="inlineStr">
        <is>
          <t>야간</t>
        </is>
      </c>
      <c r="C1478" t="inlineStr">
        <is>
          <t>P1</t>
        </is>
      </c>
      <c r="D1478" t="inlineStr">
        <is>
          <t>원료혼합</t>
        </is>
      </c>
      <c r="E1478" t="inlineStr">
        <is>
          <t>MX-01</t>
        </is>
      </c>
      <c r="F1478" t="n">
        <v>480</v>
      </c>
      <c r="G1478" t="n">
        <v>15</v>
      </c>
      <c r="H1478" t="inlineStr">
        <is>
          <t>원료 대기</t>
        </is>
      </c>
      <c r="I1478" t="n">
        <v>5</v>
      </c>
      <c r="J1478" t="n">
        <v>5068</v>
      </c>
      <c r="K1478" t="n">
        <v>5031</v>
      </c>
      <c r="L1478" t="inlineStr">
        <is>
          <t>L-0821</t>
        </is>
      </c>
      <c r="M1478">
        <f>F1478-G1478</f>
        <v/>
      </c>
      <c r="N1478" s="2">
        <f>M1478/F1478</f>
        <v/>
      </c>
      <c r="O1478" s="2">
        <f>I1478*J1478/60/M1478</f>
        <v/>
      </c>
      <c r="P1478" s="2">
        <f>K1478/J1478</f>
        <v/>
      </c>
      <c r="Q1478" s="2">
        <f>N1478*O1478*P1478</f>
        <v/>
      </c>
    </row>
    <row r="1479">
      <c r="A1479" t="inlineStr">
        <is>
          <t>2026-08-31</t>
        </is>
      </c>
      <c r="B1479" t="inlineStr">
        <is>
          <t>야간</t>
        </is>
      </c>
      <c r="C1479" t="inlineStr">
        <is>
          <t>P1</t>
        </is>
      </c>
      <c r="D1479" t="inlineStr">
        <is>
          <t>원료혼합</t>
        </is>
      </c>
      <c r="E1479" t="inlineStr">
        <is>
          <t>MX-02</t>
        </is>
      </c>
      <c r="F1479" t="n">
        <v>480</v>
      </c>
      <c r="G1479" t="n">
        <v>42</v>
      </c>
      <c r="H1479" t="inlineStr">
        <is>
          <t>청소</t>
        </is>
      </c>
      <c r="I1479" t="n">
        <v>5</v>
      </c>
      <c r="J1479" t="n">
        <v>4938</v>
      </c>
      <c r="K1479" t="n">
        <v>4900</v>
      </c>
      <c r="L1479" t="inlineStr">
        <is>
          <t>L-0821</t>
        </is>
      </c>
      <c r="M1479">
        <f>F1479-G1479</f>
        <v/>
      </c>
      <c r="N1479" s="2">
        <f>M1479/F1479</f>
        <v/>
      </c>
      <c r="O1479" s="2">
        <f>I1479*J1479/60/M1479</f>
        <v/>
      </c>
      <c r="P1479" s="2">
        <f>K1479/J1479</f>
        <v/>
      </c>
      <c r="Q1479" s="2">
        <f>N1479*O1479*P1479</f>
        <v/>
      </c>
    </row>
    <row r="1480">
      <c r="A1480" t="inlineStr">
        <is>
          <t>2026-08-31</t>
        </is>
      </c>
      <c r="B1480" t="inlineStr">
        <is>
          <t>야간</t>
        </is>
      </c>
      <c r="C1480" t="inlineStr">
        <is>
          <t>P2</t>
        </is>
      </c>
      <c r="D1480" t="inlineStr">
        <is>
          <t>성형</t>
        </is>
      </c>
      <c r="E1480" t="inlineStr">
        <is>
          <t>PR-01</t>
        </is>
      </c>
      <c r="F1480" t="n">
        <v>480</v>
      </c>
      <c r="G1480" t="n">
        <v>11</v>
      </c>
      <c r="H1480" t="inlineStr">
        <is>
          <t>금형 교체</t>
        </is>
      </c>
      <c r="I1480" t="n">
        <v>6</v>
      </c>
      <c r="J1480" t="n">
        <v>4204</v>
      </c>
      <c r="K1480" t="n">
        <v>4160</v>
      </c>
      <c r="L1480" t="inlineStr">
        <is>
          <t>L-0821</t>
        </is>
      </c>
      <c r="M1480">
        <f>F1480-G1480</f>
        <v/>
      </c>
      <c r="N1480" s="2">
        <f>M1480/F1480</f>
        <v/>
      </c>
      <c r="O1480" s="2">
        <f>I1480*J1480/60/M1480</f>
        <v/>
      </c>
      <c r="P1480" s="2">
        <f>K1480/J1480</f>
        <v/>
      </c>
      <c r="Q1480" s="2">
        <f>N1480*O1480*P1480</f>
        <v/>
      </c>
    </row>
    <row r="1481">
      <c r="A1481" t="inlineStr">
        <is>
          <t>2026-08-31</t>
        </is>
      </c>
      <c r="B1481" t="inlineStr">
        <is>
          <t>야간</t>
        </is>
      </c>
      <c r="C1481" t="inlineStr">
        <is>
          <t>P2</t>
        </is>
      </c>
      <c r="D1481" t="inlineStr">
        <is>
          <t>성형</t>
        </is>
      </c>
      <c r="E1481" t="inlineStr">
        <is>
          <t>PR-02</t>
        </is>
      </c>
      <c r="F1481" t="n">
        <v>480</v>
      </c>
      <c r="G1481" t="n">
        <v>14</v>
      </c>
      <c r="H1481" t="inlineStr">
        <is>
          <t>금형 교체</t>
        </is>
      </c>
      <c r="I1481" t="n">
        <v>6</v>
      </c>
      <c r="J1481" t="n">
        <v>4414</v>
      </c>
      <c r="K1481" t="n">
        <v>4373</v>
      </c>
      <c r="L1481" t="inlineStr">
        <is>
          <t>L-0821</t>
        </is>
      </c>
      <c r="M1481">
        <f>F1481-G1481</f>
        <v/>
      </c>
      <c r="N1481" s="2">
        <f>M1481/F1481</f>
        <v/>
      </c>
      <c r="O1481" s="2">
        <f>I1481*J1481/60/M1481</f>
        <v/>
      </c>
      <c r="P1481" s="2">
        <f>K1481/J1481</f>
        <v/>
      </c>
      <c r="Q1481" s="2">
        <f>N1481*O1481*P1481</f>
        <v/>
      </c>
    </row>
    <row r="1482">
      <c r="A1482" t="inlineStr">
        <is>
          <t>2026-08-31</t>
        </is>
      </c>
      <c r="B1482" t="inlineStr">
        <is>
          <t>야간</t>
        </is>
      </c>
      <c r="C1482" t="inlineStr">
        <is>
          <t>P3</t>
        </is>
      </c>
      <c r="D1482" t="inlineStr">
        <is>
          <t>소결</t>
        </is>
      </c>
      <c r="E1482" t="inlineStr">
        <is>
          <t>SF-01</t>
        </is>
      </c>
      <c r="F1482" t="n">
        <v>480</v>
      </c>
      <c r="G1482" t="n">
        <v>83</v>
      </c>
      <c r="H1482" t="inlineStr">
        <is>
          <t>재가열</t>
        </is>
      </c>
      <c r="I1482" t="n">
        <v>6.5</v>
      </c>
      <c r="J1482" t="n">
        <v>3348</v>
      </c>
      <c r="K1482" t="n">
        <v>3248</v>
      </c>
      <c r="L1482" t="inlineStr">
        <is>
          <t>L-0821</t>
        </is>
      </c>
      <c r="M1482">
        <f>F1482-G1482</f>
        <v/>
      </c>
      <c r="N1482" s="2">
        <f>M1482/F1482</f>
        <v/>
      </c>
      <c r="O1482" s="2">
        <f>I1482*J1482/60/M1482</f>
        <v/>
      </c>
      <c r="P1482" s="2">
        <f>K1482/J1482</f>
        <v/>
      </c>
      <c r="Q1482" s="2">
        <f>N1482*O1482*P1482</f>
        <v/>
      </c>
    </row>
    <row r="1483">
      <c r="A1483" t="inlineStr">
        <is>
          <t>2026-08-31</t>
        </is>
      </c>
      <c r="B1483" t="inlineStr">
        <is>
          <t>야간</t>
        </is>
      </c>
      <c r="C1483" t="inlineStr">
        <is>
          <t>P3</t>
        </is>
      </c>
      <c r="D1483" t="inlineStr">
        <is>
          <t>소결</t>
        </is>
      </c>
      <c r="E1483" t="inlineStr">
        <is>
          <t>SF-02</t>
        </is>
      </c>
      <c r="F1483" t="n">
        <v>480</v>
      </c>
      <c r="G1483" t="n">
        <v>78</v>
      </c>
      <c r="H1483" t="inlineStr">
        <is>
          <t>재가열</t>
        </is>
      </c>
      <c r="I1483" t="n">
        <v>6.5</v>
      </c>
      <c r="J1483" t="n">
        <v>3207</v>
      </c>
      <c r="K1483" t="n">
        <v>2998</v>
      </c>
      <c r="L1483" t="inlineStr">
        <is>
          <t>L-0821</t>
        </is>
      </c>
      <c r="M1483">
        <f>F1483-G1483</f>
        <v/>
      </c>
      <c r="N1483" s="2">
        <f>M1483/F1483</f>
        <v/>
      </c>
      <c r="O1483" s="2">
        <f>I1483*J1483/60/M1483</f>
        <v/>
      </c>
      <c r="P1483" s="2">
        <f>K1483/J1483</f>
        <v/>
      </c>
      <c r="Q1483" s="2">
        <f>N1483*O1483*P1483</f>
        <v/>
      </c>
    </row>
    <row r="1484">
      <c r="A1484" t="inlineStr">
        <is>
          <t>2026-08-31</t>
        </is>
      </c>
      <c r="B1484" t="inlineStr">
        <is>
          <t>야간</t>
        </is>
      </c>
      <c r="C1484" t="inlineStr">
        <is>
          <t>P4</t>
        </is>
      </c>
      <c r="D1484" t="inlineStr">
        <is>
          <t>연삭</t>
        </is>
      </c>
      <c r="E1484" t="inlineStr">
        <is>
          <t>GR-01</t>
        </is>
      </c>
      <c r="F1484" t="n">
        <v>480</v>
      </c>
      <c r="G1484" t="n">
        <v>66</v>
      </c>
      <c r="H1484" t="inlineStr">
        <is>
          <t>공구 교체</t>
        </is>
      </c>
      <c r="I1484" t="n">
        <v>6.2</v>
      </c>
      <c r="J1484" t="n">
        <v>3724</v>
      </c>
      <c r="K1484" t="n">
        <v>3679</v>
      </c>
      <c r="L1484" t="inlineStr">
        <is>
          <t>L-0821</t>
        </is>
      </c>
      <c r="M1484">
        <f>F1484-G1484</f>
        <v/>
      </c>
      <c r="N1484" s="2">
        <f>M1484/F1484</f>
        <v/>
      </c>
      <c r="O1484" s="2">
        <f>I1484*J1484/60/M1484</f>
        <v/>
      </c>
      <c r="P1484" s="2">
        <f>K1484/J1484</f>
        <v/>
      </c>
      <c r="Q1484" s="2">
        <f>N1484*O1484*P1484</f>
        <v/>
      </c>
    </row>
    <row r="1485">
      <c r="A1485" t="inlineStr">
        <is>
          <t>2026-08-31</t>
        </is>
      </c>
      <c r="B1485" t="inlineStr">
        <is>
          <t>야간</t>
        </is>
      </c>
      <c r="C1485" t="inlineStr">
        <is>
          <t>P4</t>
        </is>
      </c>
      <c r="D1485" t="inlineStr">
        <is>
          <t>연삭</t>
        </is>
      </c>
      <c r="E1485" t="inlineStr">
        <is>
          <t>GR-02</t>
        </is>
      </c>
      <c r="F1485" t="n">
        <v>480</v>
      </c>
      <c r="G1485" t="n">
        <v>70</v>
      </c>
      <c r="H1485" t="inlineStr">
        <is>
          <t>드레싱</t>
        </is>
      </c>
      <c r="I1485" t="n">
        <v>6.2</v>
      </c>
      <c r="J1485" t="n">
        <v>3735</v>
      </c>
      <c r="K1485" t="n">
        <v>3690</v>
      </c>
      <c r="L1485" t="inlineStr">
        <is>
          <t>L-0821</t>
        </is>
      </c>
      <c r="M1485">
        <f>F1485-G1485</f>
        <v/>
      </c>
      <c r="N1485" s="2">
        <f>M1485/F1485</f>
        <v/>
      </c>
      <c r="O1485" s="2">
        <f>I1485*J1485/60/M1485</f>
        <v/>
      </c>
      <c r="P1485" s="2">
        <f>K1485/J1485</f>
        <v/>
      </c>
      <c r="Q1485" s="2">
        <f>N1485*O1485*P1485</f>
        <v/>
      </c>
    </row>
    <row r="1486">
      <c r="A1486" t="inlineStr">
        <is>
          <t>2026-08-31</t>
        </is>
      </c>
      <c r="B1486" t="inlineStr">
        <is>
          <t>야간</t>
        </is>
      </c>
      <c r="C1486" t="inlineStr">
        <is>
          <t>P5</t>
        </is>
      </c>
      <c r="D1486" t="inlineStr">
        <is>
          <t>검사</t>
        </is>
      </c>
      <c r="E1486" t="inlineStr">
        <is>
          <t>IN-01</t>
        </is>
      </c>
      <c r="F1486" t="n">
        <v>480</v>
      </c>
      <c r="G1486" t="n">
        <v>7</v>
      </c>
      <c r="H1486" t="inlineStr">
        <is>
          <t>측정기 교정</t>
        </is>
      </c>
      <c r="I1486" t="n">
        <v>5.5</v>
      </c>
      <c r="J1486" t="n">
        <v>4887</v>
      </c>
      <c r="K1486" t="n">
        <v>4873</v>
      </c>
      <c r="L1486" t="inlineStr">
        <is>
          <t>L-0821</t>
        </is>
      </c>
      <c r="M1486">
        <f>F1486-G1486</f>
        <v/>
      </c>
      <c r="N1486" s="2">
        <f>M1486/F1486</f>
        <v/>
      </c>
      <c r="O1486" s="2">
        <f>I1486*J1486/60/M1486</f>
        <v/>
      </c>
      <c r="P1486" s="2">
        <f>K1486/J1486</f>
        <v/>
      </c>
      <c r="Q1486" s="2">
        <f>N1486*O1486*P1486</f>
        <v/>
      </c>
    </row>
    <row r="1487">
      <c r="A1487" t="inlineStr">
        <is>
          <t>2026-08-31</t>
        </is>
      </c>
      <c r="B1487" t="inlineStr">
        <is>
          <t>야간</t>
        </is>
      </c>
      <c r="C1487" t="inlineStr">
        <is>
          <t>P5</t>
        </is>
      </c>
      <c r="D1487" t="inlineStr">
        <is>
          <t>검사</t>
        </is>
      </c>
      <c r="E1487" t="inlineStr">
        <is>
          <t>IN-02</t>
        </is>
      </c>
      <c r="F1487" t="n">
        <v>480</v>
      </c>
      <c r="G1487" t="n">
        <v>8</v>
      </c>
      <c r="H1487" t="inlineStr">
        <is>
          <t>측정기 교정</t>
        </is>
      </c>
      <c r="I1487" t="n">
        <v>5.5</v>
      </c>
      <c r="J1487" t="n">
        <v>4805</v>
      </c>
      <c r="K1487" t="n">
        <v>4783</v>
      </c>
      <c r="L1487" t="inlineStr">
        <is>
          <t>L-0821</t>
        </is>
      </c>
      <c r="M1487">
        <f>F1487-G1487</f>
        <v/>
      </c>
      <c r="N1487" s="2">
        <f>M1487/F1487</f>
        <v/>
      </c>
      <c r="O1487" s="2">
        <f>I1487*J1487/60/M1487</f>
        <v/>
      </c>
      <c r="P1487" s="2">
        <f>K1487/J1487</f>
        <v/>
      </c>
      <c r="Q1487" s="2">
        <f>N1487*O1487*P1487</f>
        <v/>
      </c>
    </row>
    <row r="1488">
      <c r="A1488" t="inlineStr">
        <is>
          <t>2026-08-31</t>
        </is>
      </c>
      <c r="B1488" t="inlineStr">
        <is>
          <t>야간</t>
        </is>
      </c>
      <c r="C1488" t="inlineStr">
        <is>
          <t>P6</t>
        </is>
      </c>
      <c r="D1488" t="inlineStr">
        <is>
          <t>포장</t>
        </is>
      </c>
      <c r="E1488" t="inlineStr">
        <is>
          <t>PK-01</t>
        </is>
      </c>
      <c r="F1488" t="n">
        <v>480</v>
      </c>
      <c r="G1488" t="n">
        <v>8</v>
      </c>
      <c r="H1488" t="inlineStr">
        <is>
          <t>자재 대기</t>
        </is>
      </c>
      <c r="I1488" t="n">
        <v>4.8</v>
      </c>
      <c r="J1488" t="n">
        <v>5468</v>
      </c>
      <c r="K1488" t="n">
        <v>5452</v>
      </c>
      <c r="L1488" t="inlineStr">
        <is>
          <t>L-0821</t>
        </is>
      </c>
      <c r="M1488">
        <f>F1488-G1488</f>
        <v/>
      </c>
      <c r="N1488" s="2">
        <f>M1488/F1488</f>
        <v/>
      </c>
      <c r="O1488" s="2">
        <f>I1488*J1488/60/M1488</f>
        <v/>
      </c>
      <c r="P1488" s="2">
        <f>K1488/J1488</f>
        <v/>
      </c>
      <c r="Q1488" s="2">
        <f>N1488*O1488*P1488</f>
        <v/>
      </c>
    </row>
    <row r="1489">
      <c r="A1489" t="inlineStr">
        <is>
          <t>2026-08-31</t>
        </is>
      </c>
      <c r="B1489" t="inlineStr">
        <is>
          <t>야간</t>
        </is>
      </c>
      <c r="C1489" t="inlineStr">
        <is>
          <t>P6</t>
        </is>
      </c>
      <c r="D1489" t="inlineStr">
        <is>
          <t>포장</t>
        </is>
      </c>
      <c r="E1489" t="inlineStr">
        <is>
          <t>PK-02</t>
        </is>
      </c>
      <c r="F1489" t="n">
        <v>480</v>
      </c>
      <c r="G1489" t="n">
        <v>14</v>
      </c>
      <c r="H1489" t="inlineStr">
        <is>
          <t>라벨 교체</t>
        </is>
      </c>
      <c r="I1489" t="n">
        <v>4.8</v>
      </c>
      <c r="J1489" t="n">
        <v>5510</v>
      </c>
      <c r="K1489" t="n">
        <v>5490</v>
      </c>
      <c r="L1489" t="inlineStr">
        <is>
          <t>L-0821</t>
        </is>
      </c>
      <c r="M1489">
        <f>F1489-G1489</f>
        <v/>
      </c>
      <c r="N1489" s="2">
        <f>M1489/F1489</f>
        <v/>
      </c>
      <c r="O1489" s="2">
        <f>I1489*J1489/60/M1489</f>
        <v/>
      </c>
      <c r="P1489" s="2">
        <f>K1489/J1489</f>
        <v/>
      </c>
      <c r="Q1489" s="2">
        <f>N1489*O1489*P1489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공정</t>
        </is>
      </c>
      <c r="B1" s="1" t="inlineStr">
        <is>
          <t>계획(분)</t>
        </is>
      </c>
      <c r="C1" s="1" t="inlineStr">
        <is>
          <t>운전(분)</t>
        </is>
      </c>
      <c r="D1" s="1" t="inlineStr">
        <is>
          <t>이론시간(분)</t>
        </is>
      </c>
      <c r="E1" s="1" t="inlineStr">
        <is>
          <t>생산</t>
        </is>
      </c>
      <c r="F1" s="1" t="inlineStr">
        <is>
          <t>양품</t>
        </is>
      </c>
      <c r="G1" s="1" t="inlineStr">
        <is>
          <t>가동률</t>
        </is>
      </c>
      <c r="H1" s="1" t="inlineStr">
        <is>
          <t>성능</t>
        </is>
      </c>
      <c r="I1" s="1" t="inlineStr">
        <is>
          <t>양품률</t>
        </is>
      </c>
      <c r="J1" s="1" t="inlineStr">
        <is>
          <t>OEE</t>
        </is>
      </c>
    </row>
    <row r="2">
      <c r="A2" t="inlineStr">
        <is>
          <t>원료혼합</t>
        </is>
      </c>
      <c r="B2">
        <f>SUMIFS(CLEAN_CALC!$F$2:$F$1489,CLEAN_CALC!$D$2:$D$1489,A2)</f>
        <v/>
      </c>
      <c r="C2">
        <f>SUMIFS(CLEAN_CALC!$M$2:$M$1489,CLEAN_CALC!$D$2:$D$1489,A2)</f>
        <v/>
      </c>
      <c r="D2">
        <f>SUMPRODUCT((CLEAN_CALC!$D$2:$D$1489=A2)*CLEAN_CALC!$I$2:$I$1489*CLEAN_CALC!$J$2:$J$1489)/60</f>
        <v/>
      </c>
      <c r="E2">
        <f>SUMIFS(CLEAN_CALC!$J$2:$J$1489,CLEAN_CALC!$D$2:$D$1489,A2)</f>
        <v/>
      </c>
      <c r="F2">
        <f>SUMIFS(CLEAN_CALC!$K$2:$K$1489,CLEAN_CALC!$D$2:$D$1489,A2)</f>
        <v/>
      </c>
      <c r="G2" s="2">
        <f>C2/B2</f>
        <v/>
      </c>
      <c r="H2" s="2">
        <f>D2/C2</f>
        <v/>
      </c>
      <c r="I2" s="2">
        <f>F2/E2</f>
        <v/>
      </c>
      <c r="J2" s="2">
        <f>G2*H2*I2</f>
        <v/>
      </c>
    </row>
    <row r="3">
      <c r="A3" t="inlineStr">
        <is>
          <t>성형</t>
        </is>
      </c>
      <c r="B3">
        <f>SUMIFS(CLEAN_CALC!$F$2:$F$1489,CLEAN_CALC!$D$2:$D$1489,A3)</f>
        <v/>
      </c>
      <c r="C3">
        <f>SUMIFS(CLEAN_CALC!$M$2:$M$1489,CLEAN_CALC!$D$2:$D$1489,A3)</f>
        <v/>
      </c>
      <c r="D3">
        <f>SUMPRODUCT((CLEAN_CALC!$D$2:$D$1489=A3)*CLEAN_CALC!$I$2:$I$1489*CLEAN_CALC!$J$2:$J$1489)/60</f>
        <v/>
      </c>
      <c r="E3">
        <f>SUMIFS(CLEAN_CALC!$J$2:$J$1489,CLEAN_CALC!$D$2:$D$1489,A3)</f>
        <v/>
      </c>
      <c r="F3">
        <f>SUMIFS(CLEAN_CALC!$K$2:$K$1489,CLEAN_CALC!$D$2:$D$1489,A3)</f>
        <v/>
      </c>
      <c r="G3" s="2">
        <f>C3/B3</f>
        <v/>
      </c>
      <c r="H3" s="2">
        <f>D3/C3</f>
        <v/>
      </c>
      <c r="I3" s="2">
        <f>F3/E3</f>
        <v/>
      </c>
      <c r="J3" s="2">
        <f>G3*H3*I3</f>
        <v/>
      </c>
    </row>
    <row r="4">
      <c r="A4" t="inlineStr">
        <is>
          <t>소결</t>
        </is>
      </c>
      <c r="B4">
        <f>SUMIFS(CLEAN_CALC!$F$2:$F$1489,CLEAN_CALC!$D$2:$D$1489,A4)</f>
        <v/>
      </c>
      <c r="C4">
        <f>SUMIFS(CLEAN_CALC!$M$2:$M$1489,CLEAN_CALC!$D$2:$D$1489,A4)</f>
        <v/>
      </c>
      <c r="D4">
        <f>SUMPRODUCT((CLEAN_CALC!$D$2:$D$1489=A4)*CLEAN_CALC!$I$2:$I$1489*CLEAN_CALC!$J$2:$J$1489)/60</f>
        <v/>
      </c>
      <c r="E4">
        <f>SUMIFS(CLEAN_CALC!$J$2:$J$1489,CLEAN_CALC!$D$2:$D$1489,A4)</f>
        <v/>
      </c>
      <c r="F4">
        <f>SUMIFS(CLEAN_CALC!$K$2:$K$1489,CLEAN_CALC!$D$2:$D$1489,A4)</f>
        <v/>
      </c>
      <c r="G4" s="2">
        <f>C4/B4</f>
        <v/>
      </c>
      <c r="H4" s="2">
        <f>D4/C4</f>
        <v/>
      </c>
      <c r="I4" s="2">
        <f>F4/E4</f>
        <v/>
      </c>
      <c r="J4" s="2">
        <f>G4*H4*I4</f>
        <v/>
      </c>
    </row>
    <row r="5">
      <c r="A5" t="inlineStr">
        <is>
          <t>연삭</t>
        </is>
      </c>
      <c r="B5">
        <f>SUMIFS(CLEAN_CALC!$F$2:$F$1489,CLEAN_CALC!$D$2:$D$1489,A5)</f>
        <v/>
      </c>
      <c r="C5">
        <f>SUMIFS(CLEAN_CALC!$M$2:$M$1489,CLEAN_CALC!$D$2:$D$1489,A5)</f>
        <v/>
      </c>
      <c r="D5">
        <f>SUMPRODUCT((CLEAN_CALC!$D$2:$D$1489=A5)*CLEAN_CALC!$I$2:$I$1489*CLEAN_CALC!$J$2:$J$1489)/60</f>
        <v/>
      </c>
      <c r="E5">
        <f>SUMIFS(CLEAN_CALC!$J$2:$J$1489,CLEAN_CALC!$D$2:$D$1489,A5)</f>
        <v/>
      </c>
      <c r="F5">
        <f>SUMIFS(CLEAN_CALC!$K$2:$K$1489,CLEAN_CALC!$D$2:$D$1489,A5)</f>
        <v/>
      </c>
      <c r="G5" s="2">
        <f>C5/B5</f>
        <v/>
      </c>
      <c r="H5" s="2">
        <f>D5/C5</f>
        <v/>
      </c>
      <c r="I5" s="2">
        <f>F5/E5</f>
        <v/>
      </c>
      <c r="J5" s="2">
        <f>G5*H5*I5</f>
        <v/>
      </c>
    </row>
    <row r="6">
      <c r="A6" t="inlineStr">
        <is>
          <t>검사</t>
        </is>
      </c>
      <c r="B6">
        <f>SUMIFS(CLEAN_CALC!$F$2:$F$1489,CLEAN_CALC!$D$2:$D$1489,A6)</f>
        <v/>
      </c>
      <c r="C6">
        <f>SUMIFS(CLEAN_CALC!$M$2:$M$1489,CLEAN_CALC!$D$2:$D$1489,A6)</f>
        <v/>
      </c>
      <c r="D6">
        <f>SUMPRODUCT((CLEAN_CALC!$D$2:$D$1489=A6)*CLEAN_CALC!$I$2:$I$1489*CLEAN_CALC!$J$2:$J$1489)/60</f>
        <v/>
      </c>
      <c r="E6">
        <f>SUMIFS(CLEAN_CALC!$J$2:$J$1489,CLEAN_CALC!$D$2:$D$1489,A6)</f>
        <v/>
      </c>
      <c r="F6">
        <f>SUMIFS(CLEAN_CALC!$K$2:$K$1489,CLEAN_CALC!$D$2:$D$1489,A6)</f>
        <v/>
      </c>
      <c r="G6" s="2">
        <f>C6/B6</f>
        <v/>
      </c>
      <c r="H6" s="2">
        <f>D6/C6</f>
        <v/>
      </c>
      <c r="I6" s="2">
        <f>F6/E6</f>
        <v/>
      </c>
      <c r="J6" s="2">
        <f>G6*H6*I6</f>
        <v/>
      </c>
    </row>
    <row r="7">
      <c r="A7" t="inlineStr">
        <is>
          <t>포장</t>
        </is>
      </c>
      <c r="B7">
        <f>SUMIFS(CLEAN_CALC!$F$2:$F$1489,CLEAN_CALC!$D$2:$D$1489,A7)</f>
        <v/>
      </c>
      <c r="C7">
        <f>SUMIFS(CLEAN_CALC!$M$2:$M$1489,CLEAN_CALC!$D$2:$D$1489,A7)</f>
        <v/>
      </c>
      <c r="D7">
        <f>SUMPRODUCT((CLEAN_CALC!$D$2:$D$1489=A7)*CLEAN_CALC!$I$2:$I$1489*CLEAN_CALC!$J$2:$J$1489)/60</f>
        <v/>
      </c>
      <c r="E7">
        <f>SUMIFS(CLEAN_CALC!$J$2:$J$1489,CLEAN_CALC!$D$2:$D$1489,A7)</f>
        <v/>
      </c>
      <c r="F7">
        <f>SUMIFS(CLEAN_CALC!$K$2:$K$1489,CLEAN_CALC!$D$2:$D$1489,A7)</f>
        <v/>
      </c>
      <c r="G7" s="2">
        <f>C7/B7</f>
        <v/>
      </c>
      <c r="H7" s="2">
        <f>D7/C7</f>
        <v/>
      </c>
      <c r="I7" s="2">
        <f>F7/E7</f>
        <v/>
      </c>
      <c r="J7" s="2">
        <f>G7*H7*I7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구분</t>
        </is>
      </c>
      <c r="B1" s="1" t="inlineStr">
        <is>
          <t>n</t>
        </is>
      </c>
      <c r="C1" s="1" t="inlineStr">
        <is>
          <t>평균</t>
        </is>
      </c>
      <c r="D1" s="1" t="inlineStr">
        <is>
          <t>표준편차</t>
        </is>
      </c>
      <c r="E1" s="1" t="inlineStr">
        <is>
          <t>Cp</t>
        </is>
      </c>
      <c r="F1" s="1" t="inlineStr">
        <is>
          <t>Cpk</t>
        </is>
      </c>
    </row>
    <row r="2">
      <c r="A2" t="inlineStr">
        <is>
          <t>SF-01 소결밀도 전체</t>
        </is>
      </c>
      <c r="B2" t="n">
        <v>620</v>
      </c>
      <c r="C2" t="n">
        <v>96.2546</v>
      </c>
      <c r="D2" t="n">
        <v>0.3262</v>
      </c>
      <c r="F2" t="n">
        <v>1.28</v>
      </c>
    </row>
    <row r="3">
      <c r="A3" t="inlineStr">
        <is>
          <t>SF-01 소결외경 전체</t>
        </is>
      </c>
      <c r="B3" t="n">
        <v>620</v>
      </c>
      <c r="C3" t="n">
        <v>10.2</v>
      </c>
      <c r="D3" t="n">
        <v>0.0203</v>
      </c>
      <c r="E3" t="n">
        <v>1.31</v>
      </c>
      <c r="F3" t="n">
        <v>1.31</v>
      </c>
    </row>
    <row r="4">
      <c r="A4" t="inlineStr">
        <is>
          <t>SF-01 소결밀도 PM전</t>
        </is>
      </c>
      <c r="B4" t="n">
        <v>400</v>
      </c>
      <c r="C4" t="n">
        <v>96.3031</v>
      </c>
      <c r="D4" t="n">
        <v>0.3031</v>
      </c>
      <c r="F4" t="n">
        <v>1.43</v>
      </c>
    </row>
    <row r="5">
      <c r="A5" t="inlineStr">
        <is>
          <t>SF-01 소결외경 PM전</t>
        </is>
      </c>
      <c r="B5" t="n">
        <v>400</v>
      </c>
      <c r="C5" t="n">
        <v>10.2</v>
      </c>
      <c r="D5" t="n">
        <v>0.0204</v>
      </c>
      <c r="E5" t="n">
        <v>1.31</v>
      </c>
      <c r="F5" t="n">
        <v>1.3</v>
      </c>
    </row>
    <row r="6">
      <c r="A6" t="inlineStr">
        <is>
          <t>SF-01 소결밀도 PM후</t>
        </is>
      </c>
      <c r="B6" t="n">
        <v>220</v>
      </c>
      <c r="C6" t="n">
        <v>96.1665</v>
      </c>
      <c r="D6" t="n">
        <v>0.3483</v>
      </c>
      <c r="F6" t="n">
        <v>1.12</v>
      </c>
    </row>
    <row r="7">
      <c r="A7" t="inlineStr">
        <is>
          <t>SF-01 소결외경 PM후</t>
        </is>
      </c>
      <c r="B7" t="n">
        <v>220</v>
      </c>
      <c r="C7" t="n">
        <v>10.2001</v>
      </c>
      <c r="D7" t="n">
        <v>0.0201</v>
      </c>
      <c r="E7" t="n">
        <v>1.33</v>
      </c>
      <c r="F7" t="n">
        <v>1.33</v>
      </c>
    </row>
    <row r="8">
      <c r="A8" t="inlineStr">
        <is>
          <t>SF-02 소결밀도 전체</t>
        </is>
      </c>
      <c r="B8" t="n">
        <v>620</v>
      </c>
      <c r="C8" t="n">
        <v>96.0416</v>
      </c>
      <c r="D8" t="n">
        <v>0.5373</v>
      </c>
      <c r="F8" t="n">
        <v>0.65</v>
      </c>
    </row>
    <row r="9">
      <c r="A9" t="inlineStr">
        <is>
          <t>SF-02 소결외경 전체</t>
        </is>
      </c>
      <c r="B9" t="n">
        <v>620</v>
      </c>
      <c r="C9" t="n">
        <v>10.1999</v>
      </c>
      <c r="D9" t="n">
        <v>0.0261</v>
      </c>
      <c r="E9" t="n">
        <v>1.02</v>
      </c>
      <c r="F9" t="n">
        <v>1.02</v>
      </c>
    </row>
    <row r="10">
      <c r="A10" t="inlineStr">
        <is>
          <t>SF-02 소결밀도 PM전</t>
        </is>
      </c>
      <c r="B10" t="n">
        <v>400</v>
      </c>
      <c r="C10" t="n">
        <v>96.3546</v>
      </c>
      <c r="D10" t="n">
        <v>0.2933</v>
      </c>
      <c r="F10" t="n">
        <v>1.54</v>
      </c>
    </row>
    <row r="11">
      <c r="A11" t="inlineStr">
        <is>
          <t>SF-02 소결외경 PM전</t>
        </is>
      </c>
      <c r="B11" t="n">
        <v>400</v>
      </c>
      <c r="C11" t="n">
        <v>10.199</v>
      </c>
      <c r="D11" t="n">
        <v>0.0197</v>
      </c>
      <c r="E11" t="n">
        <v>1.36</v>
      </c>
      <c r="F11" t="n">
        <v>1.34</v>
      </c>
    </row>
    <row r="12">
      <c r="A12" t="inlineStr">
        <is>
          <t>SF-02 소결밀도 PM후</t>
        </is>
      </c>
      <c r="B12" t="n">
        <v>220</v>
      </c>
      <c r="C12" t="n">
        <v>95.4725</v>
      </c>
      <c r="D12" t="n">
        <v>0.3937</v>
      </c>
      <c r="F12" t="n">
        <v>0.4</v>
      </c>
    </row>
    <row r="13">
      <c r="A13" t="inlineStr">
        <is>
          <t>SF-02 소결외경 PM후</t>
        </is>
      </c>
      <c r="B13" t="n">
        <v>220</v>
      </c>
      <c r="C13" t="n">
        <v>10.2015</v>
      </c>
      <c r="D13" t="n">
        <v>0.0348</v>
      </c>
      <c r="E13" t="n">
        <v>0.77</v>
      </c>
      <c r="F13" t="n">
        <v>0.75</v>
      </c>
    </row>
    <row r="14">
      <c r="A14" t="inlineStr">
        <is>
          <t>GR-01 연삭외경 전체</t>
        </is>
      </c>
      <c r="B14" t="n">
        <v>620</v>
      </c>
      <c r="C14" t="n">
        <v>9.9993</v>
      </c>
      <c r="D14" t="n">
        <v>0.0119</v>
      </c>
      <c r="E14" t="n">
        <v>1.69</v>
      </c>
      <c r="F14" t="n">
        <v>1.66</v>
      </c>
    </row>
    <row r="15">
      <c r="A15" t="inlineStr">
        <is>
          <t>GR-02 연삭외경 전체</t>
        </is>
      </c>
      <c r="B15" t="n">
        <v>620</v>
      </c>
      <c r="C15" t="n">
        <v>10.0008</v>
      </c>
      <c r="D15" t="n">
        <v>0.0113</v>
      </c>
      <c r="E15" t="n">
        <v>1.78</v>
      </c>
      <c r="F15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2026-10-01T10:14:03Z</dcterms:created>
  <dcterms:modified xmlns:dcterms="http://purl.org/dc/terms/" xmlns:xsi="http://www.w3.org/2001/XMLSchema-instance" xsi:type="dcterms:W3CDTF">2026-10-01T10:14:03Z</dcterms:modified>
</cp:coreProperties>
</file>